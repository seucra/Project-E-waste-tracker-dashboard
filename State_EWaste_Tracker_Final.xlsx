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RAYED KHAN\Desktop\College work\SEM 5\"/>
    </mc:Choice>
  </mc:AlternateContent>
  <xr:revisionPtr revIDLastSave="0" documentId="8_{5A5EAB6E-F202-47C1-94D4-C25433F2B4F4}" xr6:coauthVersionLast="47" xr6:coauthVersionMax="47" xr10:uidLastSave="{00000000-0000-0000-0000-000000000000}"/>
  <bookViews>
    <workbookView xWindow="-108" yWindow="-108" windowWidth="23256" windowHeight="12456" tabRatio="500" firstSheet="4" activeTab="6" xr2:uid="{00000000-000D-0000-FFFF-FFFF00000000}"/>
  </bookViews>
  <sheets>
    <sheet name="0_Scorecard" sheetId="1" r:id="rId1"/>
    <sheet name="Instructions" sheetId="2" r:id="rId2"/>
    <sheet name="1_Generation_Inventory" sheetId="3" r:id="rId3"/>
    <sheet name="2_Collection_Log" sheetId="4" r:id="rId4"/>
    <sheet name="3_Recycling_Infrastructure" sheetId="5" r:id="rId5"/>
    <sheet name="4_Compliance_Tracker" sheetId="6" r:id="rId6"/>
    <sheet name="5_Informal_Sector_Hotspots" sheetId="7" r:id="rId7"/>
    <sheet name="6_Env_Health_Monitoring" sheetId="8" r:id="rId8"/>
    <sheet name="7_Awareness_Programs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0" i="9" l="1"/>
  <c r="C29" i="9"/>
  <c r="C28" i="9"/>
  <c r="F16" i="1" s="1"/>
  <c r="G16" i="1" s="1"/>
  <c r="H16" i="1" s="1"/>
  <c r="C30" i="8"/>
  <c r="C29" i="8"/>
  <c r="C28" i="8"/>
  <c r="C14" i="7"/>
  <c r="C13" i="7"/>
  <c r="C12" i="7"/>
  <c r="C11" i="7"/>
  <c r="C33" i="6"/>
  <c r="C32" i="6"/>
  <c r="C31" i="6"/>
  <c r="C30" i="6"/>
  <c r="C29" i="6"/>
  <c r="C28" i="6"/>
  <c r="F13" i="1" s="1"/>
  <c r="G13" i="1" s="1"/>
  <c r="H13" i="1" s="1"/>
  <c r="D28" i="5"/>
  <c r="G27" i="4"/>
  <c r="F27" i="4"/>
  <c r="E27" i="4"/>
  <c r="C25" i="4"/>
  <c r="C24" i="4"/>
  <c r="C23" i="4"/>
  <c r="C22" i="4"/>
  <c r="C21" i="4"/>
  <c r="C20" i="4"/>
  <c r="C19" i="4"/>
  <c r="C18" i="4"/>
  <c r="C17" i="4"/>
  <c r="C16" i="4"/>
  <c r="C15" i="4"/>
  <c r="C11" i="4"/>
  <c r="C8" i="4"/>
  <c r="C7" i="4"/>
  <c r="C6" i="4"/>
  <c r="I27" i="3"/>
  <c r="H27" i="3"/>
  <c r="G27" i="3"/>
  <c r="F27" i="3"/>
  <c r="E27" i="3"/>
  <c r="D27" i="3"/>
  <c r="J25" i="3"/>
  <c r="J24" i="3"/>
  <c r="J23" i="3"/>
  <c r="J22" i="3"/>
  <c r="J21" i="3"/>
  <c r="J20" i="3"/>
  <c r="J19" i="3"/>
  <c r="J18" i="3"/>
  <c r="J17" i="3"/>
  <c r="J16" i="3"/>
  <c r="J15" i="3"/>
  <c r="J14" i="3"/>
  <c r="C14" i="4" s="1"/>
  <c r="J13" i="3"/>
  <c r="C13" i="4" s="1"/>
  <c r="J12" i="3"/>
  <c r="C12" i="4" s="1"/>
  <c r="J11" i="3"/>
  <c r="J10" i="3"/>
  <c r="C10" i="4" s="1"/>
  <c r="J9" i="3"/>
  <c r="C9" i="4" s="1"/>
  <c r="J8" i="3"/>
  <c r="J7" i="3"/>
  <c r="J6" i="3"/>
  <c r="D17" i="1"/>
  <c r="F14" i="1"/>
  <c r="G14" i="1" s="1"/>
  <c r="H14" i="1" s="1"/>
  <c r="F10" i="1"/>
  <c r="G10" i="1" s="1"/>
  <c r="H10" i="1" s="1"/>
  <c r="F15" i="1" l="1"/>
  <c r="G15" i="1" s="1"/>
  <c r="H15" i="1" s="1"/>
  <c r="C27" i="4"/>
  <c r="F12" i="1" l="1"/>
  <c r="G12" i="1" s="1"/>
  <c r="H12" i="1" s="1"/>
  <c r="F11" i="1"/>
  <c r="G11" i="1" s="1"/>
  <c r="H11" i="1" s="1"/>
  <c r="H17" i="1" s="1"/>
  <c r="D5" i="1" l="1"/>
  <c r="F5" i="1"/>
</calcChain>
</file>

<file path=xl/sharedStrings.xml><?xml version="1.0" encoding="utf-8"?>
<sst xmlns="http://schemas.openxmlformats.org/spreadsheetml/2006/main" count="241" uniqueCount="175">
  <si>
    <t>State E-Waste Management Scorecard</t>
  </si>
  <si>
    <t>Live score out of 100, calculated from the 7 data sheets. Set benchmarks in the yellow 'Target/Benchmark' cells.</t>
  </si>
  <si>
    <t>STATE SCORE</t>
  </si>
  <si>
    <t>#</t>
  </si>
  <si>
    <t>Category</t>
  </si>
  <si>
    <t>Weight</t>
  </si>
  <si>
    <t>Benchmark / Target</t>
  </si>
  <si>
    <t>Achieved Value</t>
  </si>
  <si>
    <t>Achievement %</t>
  </si>
  <si>
    <t>Score Earned</t>
  </si>
  <si>
    <t>Generation &amp; Inventory</t>
  </si>
  <si>
    <t>Collection Performance</t>
  </si>
  <si>
    <t>Formal Recycling &amp; Treatment</t>
  </si>
  <si>
    <t>Regulatory Compliance</t>
  </si>
  <si>
    <t>Informal Sector Integration</t>
  </si>
  <si>
    <t>Environmental &amp; Health Safeguards</t>
  </si>
  <si>
    <t>Awareness &amp; Outreach</t>
  </si>
  <si>
    <t>TOTAL SCORE</t>
  </si>
  <si>
    <t>Score Bands:</t>
  </si>
  <si>
    <t>85-100</t>
  </si>
  <si>
    <t>Excellent</t>
  </si>
  <si>
    <t>65-84</t>
  </si>
  <si>
    <t>Good</t>
  </si>
  <si>
    <t>45-64</t>
  </si>
  <si>
    <t>Needs Improvement</t>
  </si>
  <si>
    <t>0-44</t>
  </si>
  <si>
    <t>Critical</t>
  </si>
  <si>
    <t>State E-Waste Management Tracker - Scoring Methodology</t>
  </si>
  <si>
    <t>A 100-point scorecard for monitoring state-level e-waste generation, collection, formal treatment, compliance, and health/environmental safeguards, in line with the E-Waste (Management) Rules, 2022 (CPCB, India).</t>
  </si>
  <si>
    <t>Indicators (data source sheet)</t>
  </si>
  <si>
    <t>District reporting completeness; category-wise breakup; annual inventory update  -&gt;  '1_Generation_Inventory'</t>
  </si>
  <si>
    <t>Collection rate (%); collection centers per million population; EPR collection-target achievement  -&gt;  '2_Collection_Log'</t>
  </si>
  <si>
    <t>% processed by authorized recyclers; installed capacity vs generation; material recovery rate  -&gt;  '3_Recycling_Infrastructure'</t>
  </si>
  <si>
    <t>% producers/EPR entities compliant; inspections conducted vs planned; penalties resolved  -&gt;  '4_Compliance_Tracker'</t>
  </si>
  <si>
    <t>% hotspots formalized/remediated; % informal workers registered/trained  -&gt;  '5_Informal_Sector_Hotspots'</t>
  </si>
  <si>
    <t>% hotspots environmentally monitored; health screening camps conducted  -&gt;  '6_Env_Health_Monitoring'</t>
  </si>
  <si>
    <t>Awareness campaigns vs target; collection drives vs target  -&gt;  '7_Awareness_Programs'</t>
  </si>
  <si>
    <t>TOTAL</t>
  </si>
  <si>
    <t>How to use this workbook</t>
  </si>
  <si>
    <t>- Enter data in the 7 numbered sheets (yellow cells = your input). Each sheet has one grey example row - replace/delete it.</t>
  </si>
  <si>
    <t>- Set your benchmarks/targets on the '0_Scorecard' sheet (yellow cells) - e.g. collection centers per million population, EPR targets, inspection/campaign targets.</t>
  </si>
  <si>
    <t>- The '0_Scorecard' sheet pulls live figures from all 7 sheets and computes the state's score out of 100 automatically. Do not overwrite formula cells.</t>
  </si>
  <si>
    <t>- Score bands (customisable on Scorecard): 85-100 Excellent | 65-84 Good | 45-64 Needs Improvement | Below 45 Critical.</t>
  </si>
  <si>
    <t>- Re-run this tracker every quarter/year to monitor trend - copy the Scorecard total into a tracking log for year-on-year comparison.</t>
  </si>
  <si>
    <t>Generation Inventory</t>
  </si>
  <si>
    <t>One row per district. Category-wise breakup based on E-Waste (Management) Rules, 2022, Schedule I (simplified).</t>
  </si>
  <si>
    <t>District</t>
  </si>
  <si>
    <t>Population</t>
  </si>
  <si>
    <t>IT &amp; Telecom (kg)</t>
  </si>
  <si>
    <t>Consumer Electrical &amp; Electronics (kg)</t>
  </si>
  <si>
    <t>Large &amp; Small Equipment (kg)</t>
  </si>
  <si>
    <t>Lighting Equipment (kg)</t>
  </si>
  <si>
    <t>Batteries (kg)</t>
  </si>
  <si>
    <t>Other (kg)</t>
  </si>
  <si>
    <t>Total Generated (kg)</t>
  </si>
  <si>
    <t>Date Last Updated</t>
  </si>
  <si>
    <t>Gautam Buddha Nagar (Noida/Gr. Noida)</t>
  </si>
  <si>
    <t>CPCB NGT Report 2025</t>
  </si>
  <si>
    <t>Ghaziabad</t>
  </si>
  <si>
    <t>Moradabad</t>
  </si>
  <si>
    <t>Lucknow</t>
  </si>
  <si>
    <t>Kanpur Nagar</t>
  </si>
  <si>
    <t>Agra</t>
  </si>
  <si>
    <t>Varanasi</t>
  </si>
  <si>
    <t>Prayagraj (Allahabad)</t>
  </si>
  <si>
    <t>Meerut</t>
  </si>
  <si>
    <t>Aligarh</t>
  </si>
  <si>
    <t>Bareilly</t>
  </si>
  <si>
    <t>Gorakhpur</t>
  </si>
  <si>
    <t>Muzaffarnagar</t>
  </si>
  <si>
    <t>Saharanpur</t>
  </si>
  <si>
    <t>Mathura</t>
  </si>
  <si>
    <t>STATE TOTAL (Uttar Pradesh)</t>
  </si>
  <si>
    <t>Collection Log</t>
  </si>
  <si>
    <t>One row per district. 'Generated' auto-pulls from Sheet 1 by district name - keep district names identical across sheets.</t>
  </si>
  <si>
    <t>Generated (kg) [from Sheet 1]</t>
  </si>
  <si>
    <t>Collected (kg)</t>
  </si>
  <si>
    <t>Registered Collection Centers</t>
  </si>
  <si>
    <t>EPR Collection Target (kg)</t>
  </si>
  <si>
    <t>EPR Collection Achieved (kg)</t>
  </si>
  <si>
    <t>Remarks</t>
  </si>
  <si>
    <t>Recycling Infrastructure</t>
  </si>
  <si>
    <t>One row per CPCB/SPCB-authorized recycler or dismantler operating in the state.</t>
  </si>
  <si>
    <t>Recycler / Dismantler Name</t>
  </si>
  <si>
    <t>CPCB/SPCB Authorization No.</t>
  </si>
  <si>
    <t>Installed Capacity (tonnes/yr)</t>
  </si>
  <si>
    <t>Quantity Processed This Year (tonnes)</t>
  </si>
  <si>
    <t>Material Recovery Rate (%)</t>
  </si>
  <si>
    <t>Authorization Valid Till</t>
  </si>
  <si>
    <t>Attero Recycling Pvt. Ltd.</t>
  </si>
  <si>
    <t>UPPCB/EWM/NOIDA/01</t>
  </si>
  <si>
    <t>Gautam Buddha Nagar</t>
  </si>
  <si>
    <t>Valid</t>
  </si>
  <si>
    <t>Greenex Eco Recycling Pvt. Ltd.</t>
  </si>
  <si>
    <t>UPPCB/EWM/GZB/04</t>
  </si>
  <si>
    <t>Horizon Recycling Pvt. Ltd.</t>
  </si>
  <si>
    <t>UPPCB/EWM/MBD/02</t>
  </si>
  <si>
    <t>Sims Recycling Solutions India</t>
  </si>
  <si>
    <t>UPPCB/EWM/NOIDA/05</t>
  </si>
  <si>
    <t>Bharat Oil &amp; Waste Management Ltd.</t>
  </si>
  <si>
    <t>UPPCB/EWM/KNP/03</t>
  </si>
  <si>
    <t>STATE TOTAL (125 Authorized Units)</t>
  </si>
  <si>
    <t>Compliance Tracker</t>
  </si>
  <si>
    <t>One row per registered producer / EPR entity operating in the state.</t>
  </si>
  <si>
    <t>Producer / EPR Entity</t>
  </si>
  <si>
    <t>EPR Registration No.</t>
  </si>
  <si>
    <t>Compliance Status</t>
  </si>
  <si>
    <t>Inspection Planned (Y/N)</t>
  </si>
  <si>
    <t>Inspection Conducted (Y/N)</t>
  </si>
  <si>
    <t>Penalty / Show-Cause Issued (Y/N)</t>
  </si>
  <si>
    <t>Penalty Resolved (Y/N)</t>
  </si>
  <si>
    <t>National &amp; State EPR Registered Producers (CPCB Portal)</t>
  </si>
  <si>
    <t>CPCB-EPR-9956</t>
  </si>
  <si>
    <t>Compliant</t>
  </si>
  <si>
    <t>Yes</t>
  </si>
  <si>
    <t>9,956 Producers registered nationally under E-Waste Rules 2022</t>
  </si>
  <si>
    <t>Total Registered</t>
  </si>
  <si>
    <t>Inspections Planned</t>
  </si>
  <si>
    <t>Inspections Conducted</t>
  </si>
  <si>
    <t>Penalties Issued</t>
  </si>
  <si>
    <t>Penalties Resolved</t>
  </si>
  <si>
    <t>Informal Sector Hotspots</t>
  </si>
  <si>
    <t>One row per known informal e-waste recycling hotspot/cluster in the state.</t>
  </si>
  <si>
    <t>Hotspot / Informal Cluster Name</t>
  </si>
  <si>
    <t>Status</t>
  </si>
  <si>
    <t>Estimated Informal Workers</t>
  </si>
  <si>
    <t>Workers Registered / Trained</t>
  </si>
  <si>
    <t>Formalization Action Taken</t>
  </si>
  <si>
    <t>Moradabad E-Waste Circuit Cluster (Karula / Nawabpura)</t>
  </si>
  <si>
    <t>Under NGT Action Plan</t>
  </si>
  <si>
    <t>Major informal PCB processing hub in India; NGT monitoring active</t>
  </si>
  <si>
    <t>Loni &amp; Seelampur Border Scrap Cluster</t>
  </si>
  <si>
    <t>Under Enforcement Drive</t>
  </si>
  <si>
    <t>Joint UPPCB &amp; Delhi CPCB anti-pollution enforcement zone</t>
  </si>
  <si>
    <t>Dasna &amp; Masuri Informal Dismantling Hub</t>
  </si>
  <si>
    <t>Partially Remediated</t>
  </si>
  <si>
    <t>Closure notices issued to non-compliant units under Air/Water Acts</t>
  </si>
  <si>
    <t>Kanpur Unorganized E-Scrap Market</t>
  </si>
  <si>
    <t>Identified</t>
  </si>
  <si>
    <t>Action plan submitted by UPPCB to NGT</t>
  </si>
  <si>
    <t>Total Hotspots</t>
  </si>
  <si>
    <t>Formalized/Remediated</t>
  </si>
  <si>
    <t>Estimated Workers (Total)</t>
  </si>
  <si>
    <t>Workers Registered/Trained (Total)</t>
  </si>
  <si>
    <t>Env Health Monitoring</t>
  </si>
  <si>
    <t>One row per environmental monitoring visit or health camp conducted at a hotspot.</t>
  </si>
  <si>
    <t>Site / Hotspot Monitored</t>
  </si>
  <si>
    <t>Monitoring Type</t>
  </si>
  <si>
    <t>Date</t>
  </si>
  <si>
    <t>Result</t>
  </si>
  <si>
    <t>Health Camp Conducted (Y/N)</t>
  </si>
  <si>
    <t>Beneficiaries Screened</t>
  </si>
  <si>
    <t>Ramganga River Bed &amp; Moradabad Cluster Sites</t>
  </si>
  <si>
    <t>Soil + Water Heavy Metals (Pb, Cd, Cr)</t>
  </si>
  <si>
    <t>2024-2025</t>
  </si>
  <si>
    <t>Exceeds permissible limits near informal sites; Remediation ordered by NGT</t>
  </si>
  <si>
    <t>Hindon River Basin &amp; Loni Industrial Belt</t>
  </si>
  <si>
    <t>Water + Ambient Air</t>
  </si>
  <si>
    <t>High particulate &amp; chemical effluent traces; UPPCB monitoring active</t>
  </si>
  <si>
    <t>Distinct Sites Monitored</t>
  </si>
  <si>
    <t>Health Camps Conducted</t>
  </si>
  <si>
    <t>Total Beneficiaries Screened</t>
  </si>
  <si>
    <t>Awareness Programs</t>
  </si>
  <si>
    <t>One row per awareness campaign, take-back scheme promotion, or collection drive conducted.</t>
  </si>
  <si>
    <t>Program Name</t>
  </si>
  <si>
    <t>Type</t>
  </si>
  <si>
    <t>Target Audience</t>
  </si>
  <si>
    <t>Participants Reached</t>
  </si>
  <si>
    <t>UPPCB State-Wide E-Waste Awareness &amp; EPR Sensitization Drive</t>
  </si>
  <si>
    <t>Lucknow / State-Wide</t>
  </si>
  <si>
    <t>Public Awareness &amp; Industry Sensitization</t>
  </si>
  <si>
    <t>Producers, Recyclers, Public</t>
  </si>
  <si>
    <t>Total Programs Conducted</t>
  </si>
  <si>
    <t>Collection Drives (School+RWA)</t>
  </si>
  <si>
    <t>Total Participants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</si>
</sst>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404040"/>
      <name val="Arial"/>
      <charset val="1"/>
    </font>
    <font>
      <b/>
      <sz val="12"/>
      <color rgb="FFFFFFFF"/>
      <name val="Arial"/>
      <charset val="1"/>
    </font>
    <font>
      <b/>
      <sz val="28"/>
      <color rgb="FF1F4E78"/>
      <name val="Arial"/>
      <charset val="1"/>
    </font>
    <font>
      <b/>
      <sz val="14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  <font>
      <sz val="10"/>
      <name val="Arial"/>
      <charset val="1"/>
    </font>
    <font>
      <i/>
      <sz val="10"/>
      <color rgb="FF80808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6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3" borderId="1" xfId="0" applyFill="1" applyBorder="1"/>
    <xf numFmtId="0" fontId="7" fillId="3" borderId="1" xfId="0" applyFont="1" applyFill="1" applyBorder="1"/>
    <xf numFmtId="0" fontId="8" fillId="0" borderId="0" xfId="0" applyFont="1"/>
    <xf numFmtId="0" fontId="9" fillId="0" borderId="0" xfId="0" applyFont="1"/>
    <xf numFmtId="0" fontId="7" fillId="0" borderId="1" xfId="0" applyFont="1" applyBorder="1"/>
    <xf numFmtId="0" fontId="10" fillId="6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165" fontId="9" fillId="5" borderId="1" xfId="0" applyNumberFormat="1" applyFont="1" applyFill="1" applyBorder="1" applyAlignment="1">
      <alignment horizontal="center" vertical="center" wrapText="1"/>
    </xf>
    <xf numFmtId="165" fontId="7" fillId="3" borderId="1" xfId="0" applyNumberFormat="1" applyFont="1" applyFill="1" applyBorder="1"/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/>
    <xf numFmtId="0" fontId="0" fillId="0" borderId="3" xfId="0" applyBorder="1"/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3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30" customWidth="1"/>
    <col min="4" max="4" width="10" customWidth="1"/>
    <col min="5" max="6" width="16" customWidth="1"/>
    <col min="7" max="7" width="14" customWidth="1"/>
    <col min="8" max="8" width="13" customWidth="1"/>
    <col min="9" max="9" width="10" customWidth="1"/>
  </cols>
  <sheetData>
    <row r="2" spans="1:9" ht="25.5" customHeight="1" x14ac:dyDescent="0.3">
      <c r="A2" s="21" t="s">
        <v>0</v>
      </c>
      <c r="B2" s="20"/>
      <c r="C2" s="20"/>
      <c r="D2" s="20"/>
      <c r="E2" s="20"/>
      <c r="F2" s="20"/>
      <c r="G2" s="20"/>
      <c r="H2" s="20"/>
    </row>
    <row r="3" spans="1:9" ht="15" customHeight="1" x14ac:dyDescent="0.3">
      <c r="B3" s="19" t="s">
        <v>1</v>
      </c>
      <c r="C3" s="20"/>
      <c r="D3" s="20"/>
      <c r="E3" s="20"/>
      <c r="F3" s="20"/>
      <c r="G3" s="20"/>
      <c r="H3" s="20"/>
      <c r="I3" s="20"/>
    </row>
    <row r="5" spans="1:9" ht="15" customHeight="1" x14ac:dyDescent="0.3">
      <c r="B5" s="23" t="s">
        <v>2</v>
      </c>
      <c r="C5" s="20"/>
      <c r="D5" s="22">
        <f>ROUND(H17,1)</f>
        <v>20.5</v>
      </c>
      <c r="E5" s="20"/>
      <c r="F5" s="24" t="str">
        <f>_xlfn.IFS(H17&gt;=85,"EXCELLENT",H17&gt;=65,"GOOD",H17&gt;=45,"NEEDS IMPROVEMENT",TRUE(),"CRITICAL")</f>
        <v>CRITICAL</v>
      </c>
      <c r="G5" s="20"/>
      <c r="H5" s="20"/>
      <c r="I5" s="20"/>
    </row>
    <row r="6" spans="1:9" ht="15" customHeight="1" x14ac:dyDescent="0.3">
      <c r="B6" s="20"/>
      <c r="C6" s="20"/>
      <c r="D6" s="20"/>
      <c r="E6" s="20"/>
      <c r="F6" s="20"/>
      <c r="G6" s="20"/>
      <c r="H6" s="20"/>
      <c r="I6" s="20"/>
    </row>
    <row r="7" spans="1:9" ht="15" customHeight="1" x14ac:dyDescent="0.3">
      <c r="B7" s="20"/>
      <c r="C7" s="20"/>
      <c r="D7" s="20"/>
      <c r="E7" s="20"/>
      <c r="F7" s="20"/>
      <c r="G7" s="20"/>
      <c r="H7" s="20"/>
      <c r="I7" s="20"/>
    </row>
    <row r="9" spans="1:9" ht="30" customHeight="1" x14ac:dyDescent="0.3">
      <c r="B9" s="1" t="s">
        <v>3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8</v>
      </c>
      <c r="H9" s="1" t="s">
        <v>9</v>
      </c>
    </row>
    <row r="10" spans="1:9" ht="30" customHeight="1" x14ac:dyDescent="0.3">
      <c r="B10" s="2">
        <v>1</v>
      </c>
      <c r="C10" s="3" t="s">
        <v>10</v>
      </c>
      <c r="D10" s="2">
        <v>15</v>
      </c>
      <c r="E10" s="4">
        <v>5</v>
      </c>
      <c r="F10" s="2">
        <f>COUNTIF('1_Generation_Inventory'!C6:C25,"?*")</f>
        <v>0</v>
      </c>
      <c r="G10" s="5">
        <f t="shared" ref="G10:G16" si="0">IFERROR(MIN(F10/E10,1),0)</f>
        <v>0</v>
      </c>
      <c r="H10" s="6">
        <f t="shared" ref="H10:H16" si="1">ROUND(G10*D10,1)</f>
        <v>0</v>
      </c>
    </row>
    <row r="11" spans="1:9" ht="30" customHeight="1" x14ac:dyDescent="0.3">
      <c r="B11" s="2">
        <v>2</v>
      </c>
      <c r="C11" s="3" t="s">
        <v>11</v>
      </c>
      <c r="D11" s="2">
        <v>20</v>
      </c>
      <c r="E11" s="7">
        <v>1</v>
      </c>
      <c r="F11" s="5">
        <f>IFERROR('2_Collection_Log'!F27/'2_Collection_Log'!C27,0)</f>
        <v>0</v>
      </c>
      <c r="G11" s="5">
        <f t="shared" si="0"/>
        <v>0</v>
      </c>
      <c r="H11" s="6">
        <f t="shared" si="1"/>
        <v>0</v>
      </c>
    </row>
    <row r="12" spans="1:9" ht="30" customHeight="1" x14ac:dyDescent="0.3">
      <c r="B12" s="2">
        <v>3</v>
      </c>
      <c r="C12" s="3" t="s">
        <v>12</v>
      </c>
      <c r="D12" s="2">
        <v>20</v>
      </c>
      <c r="E12" s="7">
        <v>1</v>
      </c>
      <c r="F12" s="5">
        <f>IFERROR(('3_Recycling_Infrastructure'!E28*1000)/'2_Collection_Log'!C27,0)</f>
        <v>0</v>
      </c>
      <c r="G12" s="5">
        <f t="shared" si="0"/>
        <v>0</v>
      </c>
      <c r="H12" s="6">
        <f t="shared" si="1"/>
        <v>0</v>
      </c>
    </row>
    <row r="13" spans="1:9" ht="30" customHeight="1" x14ac:dyDescent="0.3">
      <c r="B13" s="2">
        <v>4</v>
      </c>
      <c r="C13" s="3" t="s">
        <v>13</v>
      </c>
      <c r="D13" s="2">
        <v>15</v>
      </c>
      <c r="E13" s="7">
        <v>1</v>
      </c>
      <c r="F13" s="5">
        <f>IFERROR('4_Compliance_Tracker'!C28/'4_Compliance_Tracker'!C29,0)</f>
        <v>1</v>
      </c>
      <c r="G13" s="5">
        <f t="shared" si="0"/>
        <v>1</v>
      </c>
      <c r="H13" s="6">
        <f t="shared" si="1"/>
        <v>15</v>
      </c>
    </row>
    <row r="14" spans="1:9" ht="30" customHeight="1" x14ac:dyDescent="0.3">
      <c r="B14" s="2">
        <v>5</v>
      </c>
      <c r="C14" s="3" t="s">
        <v>14</v>
      </c>
      <c r="D14" s="2">
        <v>10</v>
      </c>
      <c r="E14" s="7">
        <v>1</v>
      </c>
      <c r="F14" s="5">
        <f>IFERROR('5_Informal_Sector_Hotspots'!C12/'5_Informal_Sector_Hotspots'!C11,0)</f>
        <v>0</v>
      </c>
      <c r="G14" s="5">
        <f t="shared" si="0"/>
        <v>0</v>
      </c>
      <c r="H14" s="6">
        <f t="shared" si="1"/>
        <v>0</v>
      </c>
    </row>
    <row r="15" spans="1:9" ht="30" customHeight="1" x14ac:dyDescent="0.3">
      <c r="B15" s="2">
        <v>6</v>
      </c>
      <c r="C15" s="3" t="s">
        <v>15</v>
      </c>
      <c r="D15" s="2">
        <v>10</v>
      </c>
      <c r="E15" s="7">
        <v>1</v>
      </c>
      <c r="F15" s="5">
        <f>IFERROR('6_Env_Health_Monitoring'!C28/'5_Informal_Sector_Hotspots'!C11,0)</f>
        <v>0.5</v>
      </c>
      <c r="G15" s="5">
        <f t="shared" si="0"/>
        <v>0.5</v>
      </c>
      <c r="H15" s="6">
        <f t="shared" si="1"/>
        <v>5</v>
      </c>
    </row>
    <row r="16" spans="1:9" ht="30" customHeight="1" x14ac:dyDescent="0.3">
      <c r="B16" s="2">
        <v>7</v>
      </c>
      <c r="C16" s="3" t="s">
        <v>16</v>
      </c>
      <c r="D16" s="2">
        <v>10</v>
      </c>
      <c r="E16" s="4">
        <v>20</v>
      </c>
      <c r="F16" s="2">
        <f>'7_Awareness_Programs'!C28</f>
        <v>1</v>
      </c>
      <c r="G16" s="5">
        <f t="shared" si="0"/>
        <v>0.05</v>
      </c>
      <c r="H16" s="6">
        <f t="shared" si="1"/>
        <v>0.5</v>
      </c>
    </row>
    <row r="17" spans="2:8" ht="15" customHeight="1" x14ac:dyDescent="0.3">
      <c r="B17" s="8"/>
      <c r="C17" s="9" t="s">
        <v>17</v>
      </c>
      <c r="D17" s="9">
        <f>SUM(D10:D16)</f>
        <v>100</v>
      </c>
      <c r="E17" s="8"/>
      <c r="F17" s="8"/>
      <c r="G17" s="8"/>
      <c r="H17" s="9">
        <f>SUM(H10:H16)</f>
        <v>20.5</v>
      </c>
    </row>
    <row r="19" spans="2:8" ht="15" customHeight="1" x14ac:dyDescent="0.3">
      <c r="B19" s="10" t="s">
        <v>18</v>
      </c>
    </row>
    <row r="20" spans="2:8" ht="15" customHeight="1" x14ac:dyDescent="0.3">
      <c r="B20" s="11" t="s">
        <v>19</v>
      </c>
      <c r="C20" s="11" t="s">
        <v>20</v>
      </c>
    </row>
    <row r="21" spans="2:8" ht="15" customHeight="1" x14ac:dyDescent="0.3">
      <c r="B21" s="11" t="s">
        <v>21</v>
      </c>
      <c r="C21" s="11" t="s">
        <v>22</v>
      </c>
    </row>
    <row r="22" spans="2:8" ht="15" customHeight="1" x14ac:dyDescent="0.3">
      <c r="B22" s="11" t="s">
        <v>23</v>
      </c>
      <c r="C22" s="11" t="s">
        <v>24</v>
      </c>
    </row>
    <row r="23" spans="2:8" ht="15" customHeight="1" x14ac:dyDescent="0.3">
      <c r="B23" s="11" t="s">
        <v>25</v>
      </c>
      <c r="C23" s="11" t="s">
        <v>26</v>
      </c>
    </row>
  </sheetData>
  <mergeCells count="5">
    <mergeCell ref="D5:E7"/>
    <mergeCell ref="A2:H2"/>
    <mergeCell ref="B5:C7"/>
    <mergeCell ref="B3:I3"/>
    <mergeCell ref="F5:I7"/>
  </mergeCells>
  <conditionalFormatting sqref="D5">
    <cfRule type="colorScale" priority="2">
      <colorScale>
        <cfvo type="num" val="0"/>
        <cfvo type="num" val="60"/>
        <cfvo type="num" val="100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1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6" customWidth="1"/>
    <col min="3" max="3" width="26" customWidth="1"/>
    <col min="4" max="4" width="9" customWidth="1"/>
    <col min="5" max="8" width="16" customWidth="1"/>
  </cols>
  <sheetData>
    <row r="2" spans="1:8" ht="25.5" customHeight="1" x14ac:dyDescent="0.3">
      <c r="A2" s="21" t="s">
        <v>27</v>
      </c>
      <c r="B2" s="20"/>
      <c r="C2" s="20"/>
      <c r="D2" s="20"/>
      <c r="E2" s="20"/>
      <c r="F2" s="20"/>
      <c r="G2" s="20"/>
    </row>
    <row r="4" spans="1:8" ht="30" customHeight="1" x14ac:dyDescent="0.3">
      <c r="B4" s="25" t="s">
        <v>28</v>
      </c>
      <c r="C4" s="20"/>
      <c r="D4" s="20"/>
      <c r="E4" s="20"/>
      <c r="F4" s="20"/>
      <c r="G4" s="20"/>
      <c r="H4" s="20"/>
    </row>
    <row r="6" spans="1:8" ht="23.85" customHeight="1" x14ac:dyDescent="0.3">
      <c r="B6" s="1" t="s">
        <v>3</v>
      </c>
      <c r="C6" s="1" t="s">
        <v>4</v>
      </c>
      <c r="D6" s="1" t="s">
        <v>5</v>
      </c>
      <c r="E6" s="1" t="s">
        <v>29</v>
      </c>
    </row>
    <row r="7" spans="1:8" ht="30" customHeight="1" x14ac:dyDescent="0.3">
      <c r="B7" s="2">
        <v>1</v>
      </c>
      <c r="C7" s="12" t="s">
        <v>10</v>
      </c>
      <c r="D7" s="2">
        <v>15</v>
      </c>
      <c r="E7" s="26" t="s">
        <v>30</v>
      </c>
      <c r="F7" s="27"/>
      <c r="G7" s="27"/>
      <c r="H7" s="28"/>
    </row>
    <row r="8" spans="1:8" ht="30" customHeight="1" x14ac:dyDescent="0.3">
      <c r="B8" s="2">
        <v>2</v>
      </c>
      <c r="C8" s="12" t="s">
        <v>11</v>
      </c>
      <c r="D8" s="2">
        <v>20</v>
      </c>
      <c r="E8" s="26" t="s">
        <v>31</v>
      </c>
      <c r="F8" s="27"/>
      <c r="G8" s="27"/>
      <c r="H8" s="28"/>
    </row>
    <row r="9" spans="1:8" ht="30" customHeight="1" x14ac:dyDescent="0.3">
      <c r="B9" s="2">
        <v>3</v>
      </c>
      <c r="C9" s="12" t="s">
        <v>12</v>
      </c>
      <c r="D9" s="2">
        <v>20</v>
      </c>
      <c r="E9" s="26" t="s">
        <v>32</v>
      </c>
      <c r="F9" s="27"/>
      <c r="G9" s="27"/>
      <c r="H9" s="28"/>
    </row>
    <row r="10" spans="1:8" ht="30" customHeight="1" x14ac:dyDescent="0.3">
      <c r="B10" s="2">
        <v>4</v>
      </c>
      <c r="C10" s="12" t="s">
        <v>13</v>
      </c>
      <c r="D10" s="2">
        <v>15</v>
      </c>
      <c r="E10" s="26" t="s">
        <v>33</v>
      </c>
      <c r="F10" s="27"/>
      <c r="G10" s="27"/>
      <c r="H10" s="28"/>
    </row>
    <row r="11" spans="1:8" ht="30" customHeight="1" x14ac:dyDescent="0.3">
      <c r="B11" s="2">
        <v>5</v>
      </c>
      <c r="C11" s="12" t="s">
        <v>14</v>
      </c>
      <c r="D11" s="2">
        <v>10</v>
      </c>
      <c r="E11" s="26" t="s">
        <v>34</v>
      </c>
      <c r="F11" s="27"/>
      <c r="G11" s="27"/>
      <c r="H11" s="28"/>
    </row>
    <row r="12" spans="1:8" ht="30" customHeight="1" x14ac:dyDescent="0.3">
      <c r="B12" s="2">
        <v>6</v>
      </c>
      <c r="C12" s="12" t="s">
        <v>15</v>
      </c>
      <c r="D12" s="2">
        <v>10</v>
      </c>
      <c r="E12" s="26" t="s">
        <v>35</v>
      </c>
      <c r="F12" s="27"/>
      <c r="G12" s="27"/>
      <c r="H12" s="28"/>
    </row>
    <row r="13" spans="1:8" ht="30" customHeight="1" x14ac:dyDescent="0.3">
      <c r="B13" s="2">
        <v>7</v>
      </c>
      <c r="C13" s="12" t="s">
        <v>16</v>
      </c>
      <c r="D13" s="2">
        <v>10</v>
      </c>
      <c r="E13" s="26" t="s">
        <v>36</v>
      </c>
      <c r="F13" s="27"/>
      <c r="G13" s="27"/>
      <c r="H13" s="28"/>
    </row>
    <row r="14" spans="1:8" ht="15" customHeight="1" x14ac:dyDescent="0.3">
      <c r="B14" s="8"/>
      <c r="C14" s="9" t="s">
        <v>37</v>
      </c>
      <c r="D14" s="9">
        <v>100</v>
      </c>
      <c r="E14" s="8"/>
      <c r="F14" s="8"/>
      <c r="G14" s="8"/>
      <c r="H14" s="8"/>
    </row>
    <row r="16" spans="1:8" ht="15" customHeight="1" x14ac:dyDescent="0.3">
      <c r="B16" s="10" t="s">
        <v>38</v>
      </c>
    </row>
    <row r="17" spans="2:8" ht="25.5" customHeight="1" x14ac:dyDescent="0.3">
      <c r="B17" s="29" t="s">
        <v>39</v>
      </c>
      <c r="C17" s="20"/>
      <c r="D17" s="20"/>
      <c r="E17" s="20"/>
      <c r="F17" s="20"/>
      <c r="G17" s="20"/>
      <c r="H17" s="20"/>
    </row>
    <row r="18" spans="2:8" ht="25.5" customHeight="1" x14ac:dyDescent="0.3">
      <c r="B18" s="29" t="s">
        <v>40</v>
      </c>
      <c r="C18" s="20"/>
      <c r="D18" s="20"/>
      <c r="E18" s="20"/>
      <c r="F18" s="20"/>
      <c r="G18" s="20"/>
      <c r="H18" s="20"/>
    </row>
    <row r="19" spans="2:8" ht="25.5" customHeight="1" x14ac:dyDescent="0.3">
      <c r="B19" s="29" t="s">
        <v>41</v>
      </c>
      <c r="C19" s="20"/>
      <c r="D19" s="20"/>
      <c r="E19" s="20"/>
      <c r="F19" s="20"/>
      <c r="G19" s="20"/>
      <c r="H19" s="20"/>
    </row>
    <row r="20" spans="2:8" ht="25.5" customHeight="1" x14ac:dyDescent="0.3">
      <c r="B20" s="29" t="s">
        <v>42</v>
      </c>
      <c r="C20" s="20"/>
      <c r="D20" s="20"/>
      <c r="E20" s="20"/>
      <c r="F20" s="20"/>
      <c r="G20" s="20"/>
      <c r="H20" s="20"/>
    </row>
    <row r="21" spans="2:8" ht="25.5" customHeight="1" x14ac:dyDescent="0.3">
      <c r="B21" s="29" t="s">
        <v>43</v>
      </c>
      <c r="C21" s="20"/>
      <c r="D21" s="20"/>
      <c r="E21" s="20"/>
      <c r="F21" s="20"/>
      <c r="G21" s="20"/>
      <c r="H21" s="20"/>
    </row>
  </sheetData>
  <mergeCells count="14">
    <mergeCell ref="B4:H4"/>
    <mergeCell ref="E12:H12"/>
    <mergeCell ref="B21:H21"/>
    <mergeCell ref="A2:G2"/>
    <mergeCell ref="E7:H7"/>
    <mergeCell ref="E11:H11"/>
    <mergeCell ref="B19:H19"/>
    <mergeCell ref="B20:H20"/>
    <mergeCell ref="E13:H13"/>
    <mergeCell ref="E9:H9"/>
    <mergeCell ref="B17:H17"/>
    <mergeCell ref="B18:H18"/>
    <mergeCell ref="E8:H8"/>
    <mergeCell ref="E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7" sqref="D7"/>
    </sheetView>
  </sheetViews>
  <sheetFormatPr defaultColWidth="8.6640625" defaultRowHeight="14.4" x14ac:dyDescent="0.3"/>
  <cols>
    <col min="1" max="1" width="3" customWidth="1"/>
    <col min="2" max="2" width="36.33203125" bestFit="1" customWidth="1"/>
    <col min="3" max="3" width="10.33203125" bestFit="1" customWidth="1"/>
    <col min="4" max="4" width="12.21875" bestFit="1" customWidth="1"/>
    <col min="5" max="5" width="18.77734375" bestFit="1" customWidth="1"/>
    <col min="6" max="7" width="14.44140625" bestFit="1" customWidth="1"/>
    <col min="8" max="8" width="12.88671875" bestFit="1" customWidth="1"/>
    <col min="9" max="9" width="10" bestFit="1" customWidth="1"/>
    <col min="10" max="10" width="14.21875" bestFit="1" customWidth="1"/>
    <col min="11" max="11" width="22.21875" bestFit="1" customWidth="1"/>
  </cols>
  <sheetData>
    <row r="2" spans="1:11" ht="25.5" customHeight="1" x14ac:dyDescent="0.3">
      <c r="A2" s="21" t="s">
        <v>44</v>
      </c>
      <c r="B2" s="20"/>
      <c r="C2" s="20"/>
      <c r="D2" s="20"/>
      <c r="E2" s="20"/>
      <c r="F2" s="20"/>
      <c r="G2" s="20"/>
      <c r="H2" s="20"/>
      <c r="I2" s="20"/>
      <c r="J2" s="20"/>
    </row>
    <row r="3" spans="1:11" ht="15" customHeight="1" x14ac:dyDescent="0.3">
      <c r="B3" s="19" t="s">
        <v>45</v>
      </c>
      <c r="C3" s="20"/>
      <c r="D3" s="20"/>
      <c r="E3" s="20"/>
      <c r="F3" s="20"/>
      <c r="G3" s="20"/>
      <c r="H3" s="20"/>
      <c r="I3" s="20"/>
      <c r="J3" s="20"/>
      <c r="K3" s="20"/>
    </row>
    <row r="5" spans="1:11" ht="31.5" customHeight="1" x14ac:dyDescent="0.3">
      <c r="B5" s="1" t="s">
        <v>46</v>
      </c>
      <c r="C5" s="1" t="s">
        <v>47</v>
      </c>
      <c r="D5" s="1" t="s">
        <v>48</v>
      </c>
      <c r="E5" s="1" t="s">
        <v>49</v>
      </c>
      <c r="F5" s="1" t="s">
        <v>50</v>
      </c>
      <c r="G5" s="1" t="s">
        <v>51</v>
      </c>
      <c r="H5" s="1" t="s">
        <v>52</v>
      </c>
      <c r="I5" s="1" t="s">
        <v>53</v>
      </c>
      <c r="J5" s="1" t="s">
        <v>54</v>
      </c>
      <c r="K5" s="1" t="s">
        <v>55</v>
      </c>
    </row>
    <row r="6" spans="1:11" ht="15" customHeight="1" x14ac:dyDescent="0.3">
      <c r="B6" s="13" t="s">
        <v>56</v>
      </c>
      <c r="C6" s="13">
        <v>1648115</v>
      </c>
      <c r="D6" s="13"/>
      <c r="E6" s="13"/>
      <c r="F6" s="13"/>
      <c r="G6" s="13"/>
      <c r="H6" s="13"/>
      <c r="I6" s="13"/>
      <c r="J6" s="13">
        <f>SUM(D6:I6)</f>
        <v>0</v>
      </c>
      <c r="K6" s="13" t="s">
        <v>57</v>
      </c>
    </row>
    <row r="7" spans="1:11" ht="15" customHeight="1" x14ac:dyDescent="0.3">
      <c r="B7" s="14" t="s">
        <v>58</v>
      </c>
      <c r="C7" s="14">
        <v>4681645</v>
      </c>
      <c r="D7" s="14"/>
      <c r="E7" s="14"/>
      <c r="F7" s="14"/>
      <c r="G7" s="14"/>
      <c r="H7" s="14"/>
      <c r="I7" s="14"/>
      <c r="J7" s="15" t="str">
        <f t="shared" ref="J7:J25" si="0">IF(SUM(D7:I7)=0,"",SUM(D7:I7))</f>
        <v/>
      </c>
      <c r="K7" s="14" t="s">
        <v>57</v>
      </c>
    </row>
    <row r="8" spans="1:11" ht="15" customHeight="1" x14ac:dyDescent="0.3">
      <c r="B8" s="14" t="s">
        <v>59</v>
      </c>
      <c r="C8" s="14">
        <v>4772006</v>
      </c>
      <c r="D8" s="14"/>
      <c r="E8" s="14"/>
      <c r="F8" s="14"/>
      <c r="G8" s="14"/>
      <c r="H8" s="14"/>
      <c r="I8" s="14"/>
      <c r="J8" s="15" t="str">
        <f t="shared" si="0"/>
        <v/>
      </c>
      <c r="K8" s="14" t="s">
        <v>57</v>
      </c>
    </row>
    <row r="9" spans="1:11" ht="15" customHeight="1" x14ac:dyDescent="0.3">
      <c r="B9" s="14" t="s">
        <v>60</v>
      </c>
      <c r="C9" s="14">
        <v>4589838</v>
      </c>
      <c r="D9" s="14"/>
      <c r="E9" s="14"/>
      <c r="F9" s="14"/>
      <c r="G9" s="14"/>
      <c r="H9" s="14"/>
      <c r="I9" s="14"/>
      <c r="J9" s="15" t="str">
        <f t="shared" si="0"/>
        <v/>
      </c>
      <c r="K9" s="14" t="s">
        <v>57</v>
      </c>
    </row>
    <row r="10" spans="1:11" ht="15" customHeight="1" x14ac:dyDescent="0.3">
      <c r="B10" s="14" t="s">
        <v>61</v>
      </c>
      <c r="C10" s="14">
        <v>4581268</v>
      </c>
      <c r="D10" s="14"/>
      <c r="E10" s="14"/>
      <c r="F10" s="14"/>
      <c r="G10" s="14"/>
      <c r="H10" s="14"/>
      <c r="I10" s="14"/>
      <c r="J10" s="15" t="str">
        <f t="shared" si="0"/>
        <v/>
      </c>
      <c r="K10" s="14" t="s">
        <v>57</v>
      </c>
    </row>
    <row r="11" spans="1:11" ht="15" customHeight="1" x14ac:dyDescent="0.3">
      <c r="B11" s="14" t="s">
        <v>62</v>
      </c>
      <c r="C11" s="14">
        <v>4418797</v>
      </c>
      <c r="D11" s="14"/>
      <c r="E11" s="14"/>
      <c r="F11" s="14"/>
      <c r="G11" s="14"/>
      <c r="H11" s="14"/>
      <c r="I11" s="14"/>
      <c r="J11" s="15" t="str">
        <f t="shared" si="0"/>
        <v/>
      </c>
      <c r="K11" s="14" t="s">
        <v>57</v>
      </c>
    </row>
    <row r="12" spans="1:11" ht="15" customHeight="1" x14ac:dyDescent="0.3">
      <c r="B12" s="14" t="s">
        <v>63</v>
      </c>
      <c r="C12" s="14">
        <v>3676841</v>
      </c>
      <c r="D12" s="14"/>
      <c r="E12" s="14"/>
      <c r="F12" s="14"/>
      <c r="G12" s="14"/>
      <c r="H12" s="14"/>
      <c r="I12" s="14"/>
      <c r="J12" s="15" t="str">
        <f t="shared" si="0"/>
        <v/>
      </c>
      <c r="K12" s="14" t="s">
        <v>57</v>
      </c>
    </row>
    <row r="13" spans="1:11" ht="22.8" customHeight="1" x14ac:dyDescent="0.3">
      <c r="B13" s="14" t="s">
        <v>64</v>
      </c>
      <c r="C13" s="14">
        <v>5954391</v>
      </c>
      <c r="D13" s="14"/>
      <c r="E13" s="14"/>
      <c r="F13" s="14"/>
      <c r="G13" s="14"/>
      <c r="H13" s="14"/>
      <c r="I13" s="14"/>
      <c r="J13" s="15" t="str">
        <f t="shared" si="0"/>
        <v/>
      </c>
      <c r="K13" s="14" t="s">
        <v>57</v>
      </c>
    </row>
    <row r="14" spans="1:11" ht="15" customHeight="1" x14ac:dyDescent="0.3">
      <c r="B14" s="14" t="s">
        <v>65</v>
      </c>
      <c r="C14" s="14">
        <v>3443689</v>
      </c>
      <c r="D14" s="14"/>
      <c r="E14" s="14"/>
      <c r="F14" s="14"/>
      <c r="G14" s="14"/>
      <c r="H14" s="14"/>
      <c r="I14" s="14"/>
      <c r="J14" s="15" t="str">
        <f t="shared" si="0"/>
        <v/>
      </c>
      <c r="K14" s="14" t="s">
        <v>57</v>
      </c>
    </row>
    <row r="15" spans="1:11" ht="15" customHeight="1" x14ac:dyDescent="0.3">
      <c r="B15" s="14" t="s">
        <v>66</v>
      </c>
      <c r="C15" s="14">
        <v>3673889</v>
      </c>
      <c r="D15" s="14"/>
      <c r="E15" s="14"/>
      <c r="F15" s="14"/>
      <c r="G15" s="14"/>
      <c r="H15" s="14"/>
      <c r="I15" s="14"/>
      <c r="J15" s="15" t="str">
        <f t="shared" si="0"/>
        <v/>
      </c>
      <c r="K15" s="14" t="s">
        <v>57</v>
      </c>
    </row>
    <row r="16" spans="1:11" ht="15" customHeight="1" x14ac:dyDescent="0.3">
      <c r="B16" s="14" t="s">
        <v>67</v>
      </c>
      <c r="C16" s="14">
        <v>4448359</v>
      </c>
      <c r="D16" s="14"/>
      <c r="E16" s="14"/>
      <c r="F16" s="14"/>
      <c r="G16" s="14"/>
      <c r="H16" s="14"/>
      <c r="I16" s="14"/>
      <c r="J16" s="15" t="str">
        <f t="shared" si="0"/>
        <v/>
      </c>
      <c r="K16" s="14" t="s">
        <v>57</v>
      </c>
    </row>
    <row r="17" spans="2:11" ht="15" customHeight="1" x14ac:dyDescent="0.3">
      <c r="B17" s="14" t="s">
        <v>68</v>
      </c>
      <c r="C17" s="14">
        <v>4440895</v>
      </c>
      <c r="D17" s="14"/>
      <c r="E17" s="14"/>
      <c r="F17" s="14"/>
      <c r="G17" s="14"/>
      <c r="H17" s="14"/>
      <c r="I17" s="14"/>
      <c r="J17" s="15" t="str">
        <f t="shared" si="0"/>
        <v/>
      </c>
      <c r="K17" s="14" t="s">
        <v>57</v>
      </c>
    </row>
    <row r="18" spans="2:11" ht="15" customHeight="1" x14ac:dyDescent="0.3">
      <c r="B18" s="14" t="s">
        <v>69</v>
      </c>
      <c r="C18" s="14">
        <v>4143512</v>
      </c>
      <c r="D18" s="14"/>
      <c r="E18" s="14"/>
      <c r="F18" s="14"/>
      <c r="G18" s="14"/>
      <c r="H18" s="14"/>
      <c r="I18" s="14"/>
      <c r="J18" s="15" t="str">
        <f t="shared" si="0"/>
        <v/>
      </c>
      <c r="K18" s="14" t="s">
        <v>57</v>
      </c>
    </row>
    <row r="19" spans="2:11" ht="15" customHeight="1" x14ac:dyDescent="0.3">
      <c r="B19" s="14" t="s">
        <v>70</v>
      </c>
      <c r="C19" s="14">
        <v>3466382</v>
      </c>
      <c r="D19" s="14"/>
      <c r="E19" s="14"/>
      <c r="F19" s="14"/>
      <c r="G19" s="14"/>
      <c r="H19" s="14"/>
      <c r="I19" s="14"/>
      <c r="J19" s="15" t="str">
        <f t="shared" si="0"/>
        <v/>
      </c>
      <c r="K19" s="14" t="s">
        <v>57</v>
      </c>
    </row>
    <row r="20" spans="2:11" ht="15" customHeight="1" x14ac:dyDescent="0.3">
      <c r="B20" s="14" t="s">
        <v>71</v>
      </c>
      <c r="C20" s="14">
        <v>2547184</v>
      </c>
      <c r="D20" s="14"/>
      <c r="E20" s="14"/>
      <c r="F20" s="14"/>
      <c r="G20" s="14"/>
      <c r="H20" s="14"/>
      <c r="I20" s="14"/>
      <c r="J20" s="15" t="str">
        <f t="shared" si="0"/>
        <v/>
      </c>
      <c r="K20" s="14" t="s">
        <v>57</v>
      </c>
    </row>
    <row r="21" spans="2:11" ht="15" customHeight="1" x14ac:dyDescent="0.3">
      <c r="B21" s="14"/>
      <c r="C21" s="14"/>
      <c r="D21" s="14"/>
      <c r="E21" s="14"/>
      <c r="F21" s="14"/>
      <c r="G21" s="14"/>
      <c r="H21" s="14"/>
      <c r="I21" s="14"/>
      <c r="J21" s="15" t="str">
        <f t="shared" si="0"/>
        <v/>
      </c>
      <c r="K21" s="14"/>
    </row>
    <row r="22" spans="2:11" ht="15" customHeight="1" x14ac:dyDescent="0.3">
      <c r="B22" s="14"/>
      <c r="C22" s="14"/>
      <c r="D22" s="14"/>
      <c r="E22" s="14"/>
      <c r="F22" s="14"/>
      <c r="G22" s="14"/>
      <c r="H22" s="14"/>
      <c r="I22" s="14"/>
      <c r="J22" s="15" t="str">
        <f t="shared" si="0"/>
        <v/>
      </c>
      <c r="K22" s="14"/>
    </row>
    <row r="23" spans="2:11" ht="15" customHeight="1" x14ac:dyDescent="0.3">
      <c r="B23" s="14"/>
      <c r="C23" s="14"/>
      <c r="D23" s="14"/>
      <c r="E23" s="14"/>
      <c r="F23" s="14"/>
      <c r="G23" s="14"/>
      <c r="H23" s="14"/>
      <c r="I23" s="14"/>
      <c r="J23" s="15" t="str">
        <f t="shared" si="0"/>
        <v/>
      </c>
      <c r="K23" s="14"/>
    </row>
    <row r="24" spans="2:11" ht="15" customHeight="1" x14ac:dyDescent="0.3">
      <c r="B24" s="14"/>
      <c r="C24" s="14"/>
      <c r="D24" s="14"/>
      <c r="E24" s="14"/>
      <c r="F24" s="14"/>
      <c r="G24" s="14"/>
      <c r="H24" s="14"/>
      <c r="I24" s="14"/>
      <c r="J24" s="15" t="str">
        <f t="shared" si="0"/>
        <v/>
      </c>
      <c r="K24" s="14"/>
    </row>
    <row r="25" spans="2:11" ht="15" customHeight="1" x14ac:dyDescent="0.3">
      <c r="B25" s="14"/>
      <c r="C25" s="14"/>
      <c r="D25" s="14"/>
      <c r="E25" s="14"/>
      <c r="F25" s="14"/>
      <c r="G25" s="14"/>
      <c r="H25" s="14"/>
      <c r="I25" s="14"/>
      <c r="J25" s="15" t="str">
        <f t="shared" si="0"/>
        <v/>
      </c>
      <c r="K25" s="14"/>
    </row>
    <row r="27" spans="2:11" ht="15" customHeight="1" x14ac:dyDescent="0.3">
      <c r="B27" s="9" t="s">
        <v>72</v>
      </c>
      <c r="C27" s="9">
        <v>60486811</v>
      </c>
      <c r="D27" s="9">
        <f t="shared" ref="D27:I27" si="1">SUM(D6:D25)</f>
        <v>0</v>
      </c>
      <c r="E27" s="9">
        <f t="shared" si="1"/>
        <v>0</v>
      </c>
      <c r="F27" s="9">
        <f t="shared" si="1"/>
        <v>0</v>
      </c>
      <c r="G27" s="9">
        <f t="shared" si="1"/>
        <v>0</v>
      </c>
      <c r="H27" s="9">
        <f t="shared" si="1"/>
        <v>0</v>
      </c>
      <c r="I27" s="9">
        <f t="shared" si="1"/>
        <v>0</v>
      </c>
      <c r="J27" s="9">
        <v>466578000</v>
      </c>
    </row>
  </sheetData>
  <mergeCells count="2">
    <mergeCell ref="B3:K3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7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7" sqref="E7"/>
    </sheetView>
  </sheetViews>
  <sheetFormatPr defaultColWidth="8.6640625" defaultRowHeight="14.4" x14ac:dyDescent="0.3"/>
  <cols>
    <col min="1" max="1" width="3" customWidth="1"/>
    <col min="2" max="2" width="36.33203125" bestFit="1" customWidth="1"/>
    <col min="3" max="3" width="19.5546875" bestFit="1" customWidth="1"/>
    <col min="4" max="4" width="9.109375" bestFit="1" customWidth="1"/>
    <col min="5" max="5" width="17.33203125" bestFit="1" customWidth="1"/>
    <col min="6" max="7" width="14.109375" bestFit="1" customWidth="1"/>
    <col min="8" max="8" width="8.6640625" bestFit="1" customWidth="1"/>
  </cols>
  <sheetData>
    <row r="2" spans="1:8" ht="25.5" customHeight="1" x14ac:dyDescent="0.3">
      <c r="A2" s="21" t="s">
        <v>73</v>
      </c>
      <c r="B2" s="20"/>
      <c r="C2" s="20"/>
      <c r="D2" s="20"/>
      <c r="E2" s="20"/>
      <c r="F2" s="20"/>
      <c r="G2" s="20"/>
    </row>
    <row r="3" spans="1:8" ht="15" customHeight="1" x14ac:dyDescent="0.3">
      <c r="B3" s="19" t="s">
        <v>74</v>
      </c>
      <c r="C3" s="20"/>
      <c r="D3" s="20"/>
      <c r="E3" s="20"/>
      <c r="F3" s="20"/>
      <c r="G3" s="20"/>
      <c r="H3" s="20"/>
    </row>
    <row r="5" spans="1:8" ht="31.5" customHeight="1" x14ac:dyDescent="0.3">
      <c r="B5" s="1" t="s">
        <v>46</v>
      </c>
      <c r="C5" s="1" t="s">
        <v>75</v>
      </c>
      <c r="D5" s="1" t="s">
        <v>76</v>
      </c>
      <c r="E5" s="1" t="s">
        <v>77</v>
      </c>
      <c r="F5" s="1" t="s">
        <v>78</v>
      </c>
      <c r="G5" s="1" t="s">
        <v>79</v>
      </c>
      <c r="H5" s="1" t="s">
        <v>80</v>
      </c>
    </row>
    <row r="6" spans="1:8" ht="23.85" customHeight="1" x14ac:dyDescent="0.3">
      <c r="B6" s="13" t="s">
        <v>56</v>
      </c>
      <c r="C6" s="13">
        <f>IFERROR(INDEX('1_Generation_Inventory'!$J$6:$J$25,MATCH(B6,'1_Generation_Inventory'!$B$6:$B$25,0)),0)</f>
        <v>0</v>
      </c>
      <c r="D6" s="13"/>
      <c r="E6" s="13"/>
      <c r="F6" s="13"/>
      <c r="G6" s="13"/>
      <c r="H6" s="13"/>
    </row>
    <row r="7" spans="1:8" ht="15" customHeight="1" x14ac:dyDescent="0.3">
      <c r="B7" s="14" t="s">
        <v>58</v>
      </c>
      <c r="C7" s="15" t="str">
        <f>IFERROR(INDEX('1_Generation_Inventory'!$J$6:$J$25,MATCH(B7,'1_Generation_Inventory'!$B$6:$B$25,0)),"")</f>
        <v/>
      </c>
      <c r="D7" s="14"/>
      <c r="E7" s="14"/>
      <c r="F7" s="14"/>
      <c r="G7" s="14"/>
      <c r="H7" s="14"/>
    </row>
    <row r="8" spans="1:8" ht="15" customHeight="1" x14ac:dyDescent="0.3">
      <c r="B8" s="14" t="s">
        <v>59</v>
      </c>
      <c r="C8" s="15" t="str">
        <f>IFERROR(INDEX('1_Generation_Inventory'!$J$6:$J$25,MATCH(B8,'1_Generation_Inventory'!$B$6:$B$25,0)),"")</f>
        <v/>
      </c>
      <c r="D8" s="14"/>
      <c r="E8" s="14"/>
      <c r="F8" s="14"/>
      <c r="G8" s="14"/>
      <c r="H8" s="14"/>
    </row>
    <row r="9" spans="1:8" ht="15" customHeight="1" x14ac:dyDescent="0.3">
      <c r="B9" s="14" t="s">
        <v>60</v>
      </c>
      <c r="C9" s="15" t="str">
        <f>IFERROR(INDEX('1_Generation_Inventory'!$J$6:$J$25,MATCH(B9,'1_Generation_Inventory'!$B$6:$B$25,0)),"")</f>
        <v/>
      </c>
      <c r="D9" s="14"/>
      <c r="E9" s="14"/>
      <c r="F9" s="14"/>
      <c r="G9" s="14"/>
      <c r="H9" s="14"/>
    </row>
    <row r="10" spans="1:8" ht="15" customHeight="1" x14ac:dyDescent="0.3">
      <c r="B10" s="14" t="s">
        <v>61</v>
      </c>
      <c r="C10" s="15" t="str">
        <f>IFERROR(INDEX('1_Generation_Inventory'!$J$6:$J$25,MATCH(B10,'1_Generation_Inventory'!$B$6:$B$25,0)),"")</f>
        <v/>
      </c>
      <c r="D10" s="14"/>
      <c r="E10" s="14"/>
      <c r="F10" s="14"/>
      <c r="G10" s="14"/>
      <c r="H10" s="14"/>
    </row>
    <row r="11" spans="1:8" ht="15" customHeight="1" x14ac:dyDescent="0.3">
      <c r="B11" s="14" t="s">
        <v>62</v>
      </c>
      <c r="C11" s="15" t="str">
        <f>IFERROR(INDEX('1_Generation_Inventory'!$J$6:$J$25,MATCH(B11,'1_Generation_Inventory'!$B$6:$B$25,0)),"")</f>
        <v/>
      </c>
      <c r="D11" s="14"/>
      <c r="E11" s="14"/>
      <c r="F11" s="14"/>
      <c r="G11" s="14"/>
      <c r="H11" s="14"/>
    </row>
    <row r="12" spans="1:8" ht="15" customHeight="1" x14ac:dyDescent="0.3">
      <c r="B12" s="14" t="s">
        <v>63</v>
      </c>
      <c r="C12" s="15" t="str">
        <f>IFERROR(INDEX('1_Generation_Inventory'!$J$6:$J$25,MATCH(B12,'1_Generation_Inventory'!$B$6:$B$25,0)),"")</f>
        <v/>
      </c>
      <c r="D12" s="14"/>
      <c r="E12" s="14"/>
      <c r="F12" s="14"/>
      <c r="G12" s="14"/>
      <c r="H12" s="14"/>
    </row>
    <row r="13" spans="1:8" ht="15" customHeight="1" x14ac:dyDescent="0.3">
      <c r="B13" s="14" t="s">
        <v>64</v>
      </c>
      <c r="C13" s="15" t="str">
        <f>IFERROR(INDEX('1_Generation_Inventory'!$J$6:$J$25,MATCH(B13,'1_Generation_Inventory'!$B$6:$B$25,0)),"")</f>
        <v/>
      </c>
      <c r="D13" s="14"/>
      <c r="E13" s="14"/>
      <c r="F13" s="14"/>
      <c r="G13" s="14"/>
      <c r="H13" s="14"/>
    </row>
    <row r="14" spans="1:8" ht="15" customHeight="1" x14ac:dyDescent="0.3">
      <c r="B14" s="14" t="s">
        <v>65</v>
      </c>
      <c r="C14" s="15" t="str">
        <f>IFERROR(INDEX('1_Generation_Inventory'!$J$6:$J$25,MATCH(B14,'1_Generation_Inventory'!$B$6:$B$25,0)),"")</f>
        <v/>
      </c>
      <c r="D14" s="14"/>
      <c r="E14" s="14"/>
      <c r="F14" s="14"/>
      <c r="G14" s="14"/>
      <c r="H14" s="14"/>
    </row>
    <row r="15" spans="1:8" ht="15" customHeight="1" x14ac:dyDescent="0.3">
      <c r="B15" s="14" t="s">
        <v>66</v>
      </c>
      <c r="C15" s="15" t="str">
        <f>IFERROR(INDEX('1_Generation_Inventory'!$J$6:$J$25,MATCH(B15,'1_Generation_Inventory'!$B$6:$B$25,0)),"")</f>
        <v/>
      </c>
      <c r="D15" s="14"/>
      <c r="E15" s="14"/>
      <c r="F15" s="14"/>
      <c r="G15" s="14"/>
      <c r="H15" s="14"/>
    </row>
    <row r="16" spans="1:8" ht="15" customHeight="1" x14ac:dyDescent="0.3">
      <c r="B16" s="14" t="s">
        <v>67</v>
      </c>
      <c r="C16" s="15" t="str">
        <f>IFERROR(INDEX('1_Generation_Inventory'!$J$6:$J$25,MATCH(B16,'1_Generation_Inventory'!$B$6:$B$25,0)),"")</f>
        <v/>
      </c>
      <c r="D16" s="14"/>
      <c r="E16" s="14"/>
      <c r="F16" s="14"/>
      <c r="G16" s="14"/>
      <c r="H16" s="14"/>
    </row>
    <row r="17" spans="2:8" ht="15" customHeight="1" x14ac:dyDescent="0.3">
      <c r="B17" s="14" t="s">
        <v>68</v>
      </c>
      <c r="C17" s="15" t="str">
        <f>IFERROR(INDEX('1_Generation_Inventory'!$J$6:$J$25,MATCH(B17,'1_Generation_Inventory'!$B$6:$B$25,0)),"")</f>
        <v/>
      </c>
      <c r="D17" s="14"/>
      <c r="E17" s="14"/>
      <c r="F17" s="14"/>
      <c r="G17" s="14"/>
      <c r="H17" s="14"/>
    </row>
    <row r="18" spans="2:8" ht="15" customHeight="1" x14ac:dyDescent="0.3">
      <c r="B18" s="14" t="s">
        <v>69</v>
      </c>
      <c r="C18" s="15" t="str">
        <f>IFERROR(INDEX('1_Generation_Inventory'!$J$6:$J$25,MATCH(B18,'1_Generation_Inventory'!$B$6:$B$25,0)),"")</f>
        <v/>
      </c>
      <c r="D18" s="14"/>
      <c r="E18" s="14"/>
      <c r="F18" s="14"/>
      <c r="G18" s="14"/>
      <c r="H18" s="14"/>
    </row>
    <row r="19" spans="2:8" ht="15" customHeight="1" x14ac:dyDescent="0.3">
      <c r="B19" s="14" t="s">
        <v>70</v>
      </c>
      <c r="C19" s="15" t="str">
        <f>IFERROR(INDEX('1_Generation_Inventory'!$J$6:$J$25,MATCH(B19,'1_Generation_Inventory'!$B$6:$B$25,0)),"")</f>
        <v/>
      </c>
      <c r="D19" s="14"/>
      <c r="E19" s="14"/>
      <c r="F19" s="14"/>
      <c r="G19" s="14"/>
      <c r="H19" s="14"/>
    </row>
    <row r="20" spans="2:8" ht="15" customHeight="1" x14ac:dyDescent="0.3">
      <c r="B20" s="14" t="s">
        <v>71</v>
      </c>
      <c r="C20" s="15" t="str">
        <f>IFERROR(INDEX('1_Generation_Inventory'!$J$6:$J$25,MATCH(B20,'1_Generation_Inventory'!$B$6:$B$25,0)),"")</f>
        <v/>
      </c>
      <c r="D20" s="14"/>
      <c r="E20" s="14"/>
      <c r="F20" s="14"/>
      <c r="G20" s="14"/>
      <c r="H20" s="14"/>
    </row>
    <row r="21" spans="2:8" ht="15" customHeight="1" x14ac:dyDescent="0.3">
      <c r="B21" s="14"/>
      <c r="C21" s="15" t="str">
        <f>IFERROR(INDEX('1_Generation_Inventory'!$J$6:$J$25,MATCH(B21,'1_Generation_Inventory'!$B$6:$B$25,0)),"")</f>
        <v/>
      </c>
      <c r="D21" s="14"/>
      <c r="E21" s="14"/>
      <c r="F21" s="14"/>
      <c r="G21" s="14"/>
      <c r="H21" s="14"/>
    </row>
    <row r="22" spans="2:8" ht="15" customHeight="1" x14ac:dyDescent="0.3">
      <c r="B22" s="14"/>
      <c r="C22" s="15" t="str">
        <f>IFERROR(INDEX('1_Generation_Inventory'!$J$6:$J$25,MATCH(B22,'1_Generation_Inventory'!$B$6:$B$25,0)),"")</f>
        <v/>
      </c>
      <c r="D22" s="14"/>
      <c r="E22" s="14"/>
      <c r="F22" s="14"/>
      <c r="G22" s="14"/>
      <c r="H22" s="14"/>
    </row>
    <row r="23" spans="2:8" ht="15" customHeight="1" x14ac:dyDescent="0.3">
      <c r="B23" s="14"/>
      <c r="C23" s="15" t="str">
        <f>IFERROR(INDEX('1_Generation_Inventory'!$J$6:$J$25,MATCH(B23,'1_Generation_Inventory'!$B$6:$B$25,0)),"")</f>
        <v/>
      </c>
      <c r="D23" s="14"/>
      <c r="E23" s="14"/>
      <c r="F23" s="14"/>
      <c r="G23" s="14"/>
      <c r="H23" s="14"/>
    </row>
    <row r="24" spans="2:8" ht="15" customHeight="1" x14ac:dyDescent="0.3">
      <c r="B24" s="14"/>
      <c r="C24" s="15" t="str">
        <f>IFERROR(INDEX('1_Generation_Inventory'!$J$6:$J$25,MATCH(B24,'1_Generation_Inventory'!$B$6:$B$25,0)),"")</f>
        <v/>
      </c>
      <c r="D24" s="14"/>
      <c r="E24" s="14"/>
      <c r="F24" s="14"/>
      <c r="G24" s="14"/>
      <c r="H24" s="14"/>
    </row>
    <row r="25" spans="2:8" ht="15" customHeight="1" x14ac:dyDescent="0.3">
      <c r="B25" s="14"/>
      <c r="C25" s="15" t="str">
        <f>IFERROR(INDEX('1_Generation_Inventory'!$J$6:$J$25,MATCH(B25,'1_Generation_Inventory'!$B$6:$B$25,0)),"")</f>
        <v/>
      </c>
      <c r="D25" s="14"/>
      <c r="E25" s="14"/>
      <c r="F25" s="14"/>
      <c r="G25" s="14"/>
      <c r="H25" s="14"/>
    </row>
    <row r="27" spans="2:8" ht="15" customHeight="1" x14ac:dyDescent="0.3">
      <c r="B27" s="9" t="s">
        <v>72</v>
      </c>
      <c r="C27" s="9">
        <f>SUM(C6:C25)</f>
        <v>0</v>
      </c>
      <c r="D27" s="9">
        <v>376896740</v>
      </c>
      <c r="E27" s="9">
        <f>SUM(E6:E25)</f>
        <v>0</v>
      </c>
      <c r="F27" s="9">
        <f>SUM(F6:F25)</f>
        <v>0</v>
      </c>
      <c r="G27" s="9">
        <f>SUM(G6:G25)</f>
        <v>0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8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9" sqref="A9:XFD9"/>
    </sheetView>
  </sheetViews>
  <sheetFormatPr defaultColWidth="8.6640625" defaultRowHeight="14.4" x14ac:dyDescent="0.3"/>
  <cols>
    <col min="1" max="1" width="3" customWidth="1"/>
    <col min="2" max="2" width="28" customWidth="1"/>
    <col min="3" max="3" width="22" customWidth="1"/>
    <col min="4" max="4" width="14" customWidth="1"/>
    <col min="5" max="5" width="16" customWidth="1"/>
    <col min="6" max="6" width="20" customWidth="1"/>
    <col min="7" max="8" width="18" customWidth="1"/>
  </cols>
  <sheetData>
    <row r="2" spans="1:8" ht="25.5" customHeight="1" x14ac:dyDescent="0.3">
      <c r="A2" s="21" t="s">
        <v>81</v>
      </c>
      <c r="B2" s="20"/>
      <c r="C2" s="20"/>
      <c r="D2" s="20"/>
      <c r="E2" s="20"/>
      <c r="F2" s="20"/>
      <c r="G2" s="20"/>
    </row>
    <row r="3" spans="1:8" ht="15" customHeight="1" x14ac:dyDescent="0.3">
      <c r="B3" s="19" t="s">
        <v>82</v>
      </c>
      <c r="C3" s="20"/>
      <c r="D3" s="20"/>
      <c r="E3" s="20"/>
      <c r="F3" s="20"/>
      <c r="G3" s="20"/>
      <c r="H3" s="20"/>
    </row>
    <row r="5" spans="1:8" ht="31.5" customHeight="1" x14ac:dyDescent="0.3">
      <c r="B5" s="1" t="s">
        <v>83</v>
      </c>
      <c r="C5" s="1" t="s">
        <v>84</v>
      </c>
      <c r="D5" s="1" t="s">
        <v>46</v>
      </c>
      <c r="E5" s="1" t="s">
        <v>85</v>
      </c>
      <c r="F5" s="1" t="s">
        <v>86</v>
      </c>
      <c r="G5" s="1" t="s">
        <v>87</v>
      </c>
      <c r="H5" s="1" t="s">
        <v>88</v>
      </c>
    </row>
    <row r="6" spans="1:8" ht="23.85" customHeight="1" x14ac:dyDescent="0.3">
      <c r="B6" s="13" t="s">
        <v>89</v>
      </c>
      <c r="C6" s="13" t="s">
        <v>90</v>
      </c>
      <c r="D6" s="13" t="s">
        <v>91</v>
      </c>
      <c r="E6" s="13">
        <v>120000</v>
      </c>
      <c r="F6" s="13">
        <v>96000</v>
      </c>
      <c r="G6" s="16"/>
      <c r="H6" s="13" t="s">
        <v>92</v>
      </c>
    </row>
    <row r="7" spans="1:8" ht="15" customHeight="1" x14ac:dyDescent="0.3">
      <c r="B7" s="14" t="s">
        <v>93</v>
      </c>
      <c r="C7" s="14" t="s">
        <v>94</v>
      </c>
      <c r="D7" s="14" t="s">
        <v>58</v>
      </c>
      <c r="E7" s="14">
        <v>24000</v>
      </c>
      <c r="F7" s="14">
        <v>18500</v>
      </c>
      <c r="G7" s="17"/>
      <c r="H7" s="14" t="s">
        <v>92</v>
      </c>
    </row>
    <row r="8" spans="1:8" ht="15" customHeight="1" x14ac:dyDescent="0.3">
      <c r="B8" s="14" t="s">
        <v>95</v>
      </c>
      <c r="C8" s="14" t="s">
        <v>96</v>
      </c>
      <c r="D8" s="14" t="s">
        <v>59</v>
      </c>
      <c r="E8" s="14">
        <v>18000</v>
      </c>
      <c r="F8" s="14">
        <v>14200</v>
      </c>
      <c r="G8" s="17"/>
      <c r="H8" s="14" t="s">
        <v>92</v>
      </c>
    </row>
    <row r="9" spans="1:8" ht="24.6" customHeight="1" x14ac:dyDescent="0.3">
      <c r="B9" s="14" t="s">
        <v>97</v>
      </c>
      <c r="C9" s="14" t="s">
        <v>98</v>
      </c>
      <c r="D9" s="14" t="s">
        <v>91</v>
      </c>
      <c r="E9" s="14">
        <v>35000</v>
      </c>
      <c r="F9" s="14">
        <v>28000</v>
      </c>
      <c r="G9" s="17"/>
      <c r="H9" s="14" t="s">
        <v>92</v>
      </c>
    </row>
    <row r="10" spans="1:8" ht="24.6" customHeight="1" x14ac:dyDescent="0.3">
      <c r="B10" s="14" t="s">
        <v>99</v>
      </c>
      <c r="C10" s="14" t="s">
        <v>100</v>
      </c>
      <c r="D10" s="14" t="s">
        <v>61</v>
      </c>
      <c r="E10" s="14">
        <v>15000</v>
      </c>
      <c r="F10" s="14">
        <v>11000</v>
      </c>
      <c r="G10" s="17"/>
      <c r="H10" s="14" t="s">
        <v>92</v>
      </c>
    </row>
    <row r="11" spans="1:8" ht="15" customHeight="1" x14ac:dyDescent="0.3">
      <c r="B11" s="14"/>
      <c r="C11" s="14"/>
      <c r="D11" s="14"/>
      <c r="E11" s="14"/>
      <c r="F11" s="14"/>
      <c r="G11" s="17"/>
      <c r="H11" s="14"/>
    </row>
    <row r="12" spans="1:8" ht="15" customHeight="1" x14ac:dyDescent="0.3">
      <c r="B12" s="14"/>
      <c r="C12" s="14"/>
      <c r="D12" s="14"/>
      <c r="E12" s="14"/>
      <c r="F12" s="14"/>
      <c r="G12" s="17"/>
      <c r="H12" s="14"/>
    </row>
    <row r="13" spans="1:8" ht="15" customHeight="1" x14ac:dyDescent="0.3">
      <c r="B13" s="14"/>
      <c r="C13" s="14"/>
      <c r="D13" s="14"/>
      <c r="E13" s="14"/>
      <c r="F13" s="14"/>
      <c r="G13" s="17"/>
      <c r="H13" s="14"/>
    </row>
    <row r="14" spans="1:8" ht="15" customHeight="1" x14ac:dyDescent="0.3">
      <c r="B14" s="14"/>
      <c r="C14" s="14"/>
      <c r="D14" s="14"/>
      <c r="E14" s="14"/>
      <c r="F14" s="14"/>
      <c r="G14" s="17"/>
      <c r="H14" s="14"/>
    </row>
    <row r="15" spans="1:8" ht="15" customHeight="1" x14ac:dyDescent="0.3">
      <c r="B15" s="14"/>
      <c r="C15" s="14"/>
      <c r="D15" s="14"/>
      <c r="E15" s="14"/>
      <c r="F15" s="14"/>
      <c r="G15" s="17"/>
      <c r="H15" s="14"/>
    </row>
    <row r="16" spans="1:8" ht="15" customHeight="1" x14ac:dyDescent="0.3">
      <c r="B16" s="14"/>
      <c r="C16" s="14"/>
      <c r="D16" s="14"/>
      <c r="E16" s="14"/>
      <c r="F16" s="14"/>
      <c r="G16" s="17"/>
      <c r="H16" s="14"/>
    </row>
    <row r="17" spans="2:8" ht="15" customHeight="1" x14ac:dyDescent="0.3">
      <c r="B17" s="14"/>
      <c r="C17" s="14"/>
      <c r="D17" s="14"/>
      <c r="E17" s="14"/>
      <c r="F17" s="14"/>
      <c r="G17" s="17"/>
      <c r="H17" s="14"/>
    </row>
    <row r="18" spans="2:8" ht="15" customHeight="1" x14ac:dyDescent="0.3">
      <c r="B18" s="14"/>
      <c r="C18" s="14"/>
      <c r="D18" s="14"/>
      <c r="E18" s="14"/>
      <c r="F18" s="14"/>
      <c r="G18" s="17"/>
      <c r="H18" s="14"/>
    </row>
    <row r="19" spans="2:8" ht="15" customHeight="1" x14ac:dyDescent="0.3">
      <c r="B19" s="14"/>
      <c r="C19" s="14"/>
      <c r="D19" s="14"/>
      <c r="E19" s="14"/>
      <c r="F19" s="14"/>
      <c r="G19" s="17"/>
      <c r="H19" s="14"/>
    </row>
    <row r="20" spans="2:8" ht="15" customHeight="1" x14ac:dyDescent="0.3">
      <c r="B20" s="14"/>
      <c r="C20" s="14"/>
      <c r="D20" s="14"/>
      <c r="E20" s="14"/>
      <c r="F20" s="14"/>
      <c r="G20" s="17"/>
      <c r="H20" s="14"/>
    </row>
    <row r="21" spans="2:8" ht="15" customHeight="1" x14ac:dyDescent="0.3">
      <c r="B21" s="14"/>
      <c r="C21" s="14"/>
      <c r="D21" s="14"/>
      <c r="E21" s="14"/>
      <c r="F21" s="14"/>
      <c r="G21" s="17"/>
      <c r="H21" s="14"/>
    </row>
    <row r="22" spans="2:8" ht="15" customHeight="1" x14ac:dyDescent="0.3">
      <c r="B22" s="14"/>
      <c r="C22" s="14"/>
      <c r="D22" s="14"/>
      <c r="E22" s="14"/>
      <c r="F22" s="14"/>
      <c r="G22" s="17"/>
      <c r="H22" s="14"/>
    </row>
    <row r="23" spans="2:8" ht="15" customHeight="1" x14ac:dyDescent="0.3">
      <c r="B23" s="14"/>
      <c r="C23" s="14"/>
      <c r="D23" s="14"/>
      <c r="E23" s="14"/>
      <c r="F23" s="14"/>
      <c r="G23" s="17"/>
      <c r="H23" s="14"/>
    </row>
    <row r="24" spans="2:8" ht="15" customHeight="1" x14ac:dyDescent="0.3">
      <c r="B24" s="14"/>
      <c r="C24" s="14"/>
      <c r="D24" s="14"/>
      <c r="E24" s="14"/>
      <c r="F24" s="14"/>
      <c r="G24" s="17"/>
      <c r="H24" s="14"/>
    </row>
    <row r="25" spans="2:8" ht="15" customHeight="1" x14ac:dyDescent="0.3">
      <c r="B25" s="14"/>
      <c r="C25" s="14"/>
      <c r="D25" s="14"/>
      <c r="E25" s="14"/>
      <c r="F25" s="14"/>
      <c r="G25" s="17"/>
      <c r="H25" s="14"/>
    </row>
    <row r="26" spans="2:8" ht="15" customHeight="1" x14ac:dyDescent="0.3">
      <c r="B26" s="14"/>
      <c r="C26" s="14"/>
      <c r="D26" s="14"/>
      <c r="E26" s="14"/>
      <c r="F26" s="14"/>
      <c r="G26" s="17"/>
      <c r="H26" s="14"/>
    </row>
    <row r="28" spans="2:8" ht="15" customHeight="1" x14ac:dyDescent="0.3">
      <c r="B28" s="9" t="s">
        <v>101</v>
      </c>
      <c r="D28" s="9">
        <f>SUM(D6:D26)</f>
        <v>0</v>
      </c>
      <c r="E28" s="9">
        <v>388000</v>
      </c>
      <c r="F28" s="18">
        <v>376896.74</v>
      </c>
    </row>
  </sheetData>
  <mergeCells count="2">
    <mergeCell ref="B3:H3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33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6" sqref="A6:XFD6"/>
    </sheetView>
  </sheetViews>
  <sheetFormatPr defaultColWidth="8.6640625" defaultRowHeight="14.4" x14ac:dyDescent="0.3"/>
  <cols>
    <col min="1" max="1" width="3" customWidth="1"/>
    <col min="2" max="2" width="26" customWidth="1"/>
    <col min="3" max="3" width="20" customWidth="1"/>
    <col min="4" max="4" width="18" customWidth="1"/>
    <col min="5" max="5" width="16" customWidth="1"/>
    <col min="6" max="6" width="18" customWidth="1"/>
    <col min="7" max="7" width="22" customWidth="1"/>
    <col min="8" max="8" width="18" customWidth="1"/>
    <col min="9" max="9" width="28" customWidth="1"/>
  </cols>
  <sheetData>
    <row r="2" spans="1:9" ht="25.5" customHeight="1" x14ac:dyDescent="0.3">
      <c r="A2" s="21" t="s">
        <v>102</v>
      </c>
      <c r="B2" s="20"/>
      <c r="C2" s="20"/>
      <c r="D2" s="20"/>
      <c r="E2" s="20"/>
      <c r="F2" s="20"/>
      <c r="G2" s="20"/>
      <c r="H2" s="20"/>
    </row>
    <row r="3" spans="1:9" ht="15" customHeight="1" x14ac:dyDescent="0.3">
      <c r="B3" s="19" t="s">
        <v>103</v>
      </c>
      <c r="C3" s="20"/>
      <c r="D3" s="20"/>
      <c r="E3" s="20"/>
      <c r="F3" s="20"/>
      <c r="G3" s="20"/>
      <c r="H3" s="20"/>
      <c r="I3" s="20"/>
    </row>
    <row r="5" spans="1:9" ht="31.5" customHeight="1" x14ac:dyDescent="0.3"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80</v>
      </c>
    </row>
    <row r="6" spans="1:9" ht="25.2" customHeight="1" x14ac:dyDescent="0.3">
      <c r="B6" s="13" t="s">
        <v>111</v>
      </c>
      <c r="C6" s="13" t="s">
        <v>112</v>
      </c>
      <c r="D6" s="13" t="s">
        <v>113</v>
      </c>
      <c r="E6" s="13" t="s">
        <v>114</v>
      </c>
      <c r="F6" s="13" t="s">
        <v>114</v>
      </c>
      <c r="G6" s="13"/>
      <c r="H6" s="13"/>
      <c r="I6" s="13" t="s">
        <v>115</v>
      </c>
    </row>
    <row r="7" spans="1:9" ht="15" customHeight="1" x14ac:dyDescent="0.3">
      <c r="B7" s="14"/>
      <c r="C7" s="14"/>
      <c r="D7" s="14"/>
      <c r="E7" s="14"/>
      <c r="F7" s="14"/>
      <c r="G7" s="14"/>
      <c r="H7" s="14"/>
      <c r="I7" s="14"/>
    </row>
    <row r="8" spans="1:9" ht="15" customHeight="1" x14ac:dyDescent="0.3">
      <c r="B8" s="14"/>
      <c r="C8" s="14"/>
      <c r="D8" s="14"/>
      <c r="E8" s="14"/>
      <c r="F8" s="14"/>
      <c r="G8" s="14"/>
      <c r="H8" s="14"/>
      <c r="I8" s="14"/>
    </row>
    <row r="9" spans="1:9" ht="15" customHeight="1" x14ac:dyDescent="0.3">
      <c r="B9" s="14"/>
      <c r="C9" s="14"/>
      <c r="D9" s="14"/>
      <c r="E9" s="14"/>
      <c r="F9" s="14"/>
      <c r="G9" s="14"/>
      <c r="H9" s="14"/>
      <c r="I9" s="14"/>
    </row>
    <row r="10" spans="1:9" ht="15" customHeight="1" x14ac:dyDescent="0.3">
      <c r="B10" s="14"/>
      <c r="C10" s="14"/>
      <c r="D10" s="14"/>
      <c r="E10" s="14"/>
      <c r="F10" s="14"/>
      <c r="G10" s="14"/>
      <c r="H10" s="14"/>
      <c r="I10" s="14"/>
    </row>
    <row r="11" spans="1:9" ht="15" customHeight="1" x14ac:dyDescent="0.3">
      <c r="B11" s="14"/>
      <c r="C11" s="14"/>
      <c r="D11" s="14"/>
      <c r="E11" s="14"/>
      <c r="F11" s="14"/>
      <c r="G11" s="14"/>
      <c r="H11" s="14"/>
      <c r="I11" s="14"/>
    </row>
    <row r="12" spans="1:9" ht="15" customHeight="1" x14ac:dyDescent="0.3">
      <c r="B12" s="14"/>
      <c r="C12" s="14"/>
      <c r="D12" s="14"/>
      <c r="E12" s="14"/>
      <c r="F12" s="14"/>
      <c r="G12" s="14"/>
      <c r="H12" s="14"/>
      <c r="I12" s="14"/>
    </row>
    <row r="13" spans="1:9" ht="15" customHeight="1" x14ac:dyDescent="0.3">
      <c r="B13" s="14"/>
      <c r="C13" s="14"/>
      <c r="D13" s="14"/>
      <c r="E13" s="14"/>
      <c r="F13" s="14"/>
      <c r="G13" s="14"/>
      <c r="H13" s="14"/>
      <c r="I13" s="14"/>
    </row>
    <row r="14" spans="1:9" ht="15" customHeight="1" x14ac:dyDescent="0.3">
      <c r="B14" s="14"/>
      <c r="C14" s="14"/>
      <c r="D14" s="14"/>
      <c r="E14" s="14"/>
      <c r="F14" s="14"/>
      <c r="G14" s="14"/>
      <c r="H14" s="14"/>
      <c r="I14" s="14"/>
    </row>
    <row r="15" spans="1:9" ht="15" customHeight="1" x14ac:dyDescent="0.3">
      <c r="B15" s="14"/>
      <c r="C15" s="14"/>
      <c r="D15" s="14"/>
      <c r="E15" s="14"/>
      <c r="F15" s="14"/>
      <c r="G15" s="14"/>
      <c r="H15" s="14"/>
      <c r="I15" s="14"/>
    </row>
    <row r="16" spans="1:9" ht="15" customHeight="1" x14ac:dyDescent="0.3">
      <c r="B16" s="14"/>
      <c r="C16" s="14"/>
      <c r="D16" s="14"/>
      <c r="E16" s="14"/>
      <c r="F16" s="14"/>
      <c r="G16" s="14"/>
      <c r="H16" s="14"/>
      <c r="I16" s="14"/>
    </row>
    <row r="17" spans="2:9" ht="15" customHeight="1" x14ac:dyDescent="0.3">
      <c r="B17" s="14"/>
      <c r="C17" s="14"/>
      <c r="D17" s="14"/>
      <c r="E17" s="14"/>
      <c r="F17" s="14"/>
      <c r="G17" s="14"/>
      <c r="H17" s="14"/>
      <c r="I17" s="14"/>
    </row>
    <row r="18" spans="2:9" ht="15" customHeight="1" x14ac:dyDescent="0.3">
      <c r="B18" s="14"/>
      <c r="C18" s="14"/>
      <c r="D18" s="14"/>
      <c r="E18" s="14"/>
      <c r="F18" s="14"/>
      <c r="G18" s="14"/>
      <c r="H18" s="14"/>
      <c r="I18" s="14"/>
    </row>
    <row r="19" spans="2:9" ht="15" customHeight="1" x14ac:dyDescent="0.3">
      <c r="B19" s="14"/>
      <c r="C19" s="14"/>
      <c r="D19" s="14"/>
      <c r="E19" s="14"/>
      <c r="F19" s="14"/>
      <c r="G19" s="14"/>
      <c r="H19" s="14"/>
      <c r="I19" s="14"/>
    </row>
    <row r="20" spans="2:9" ht="15" customHeight="1" x14ac:dyDescent="0.3">
      <c r="B20" s="14"/>
      <c r="C20" s="14"/>
      <c r="D20" s="14"/>
      <c r="E20" s="14"/>
      <c r="F20" s="14"/>
      <c r="G20" s="14"/>
      <c r="H20" s="14"/>
      <c r="I20" s="14"/>
    </row>
    <row r="21" spans="2:9" ht="15" customHeight="1" x14ac:dyDescent="0.3">
      <c r="B21" s="14"/>
      <c r="C21" s="14"/>
      <c r="D21" s="14"/>
      <c r="E21" s="14"/>
      <c r="F21" s="14"/>
      <c r="G21" s="14"/>
      <c r="H21" s="14"/>
      <c r="I21" s="14"/>
    </row>
    <row r="22" spans="2:9" ht="15" customHeight="1" x14ac:dyDescent="0.3">
      <c r="B22" s="14"/>
      <c r="C22" s="14"/>
      <c r="D22" s="14"/>
      <c r="E22" s="14"/>
      <c r="F22" s="14"/>
      <c r="G22" s="14"/>
      <c r="H22" s="14"/>
      <c r="I22" s="14"/>
    </row>
    <row r="23" spans="2:9" ht="15" customHeight="1" x14ac:dyDescent="0.3">
      <c r="B23" s="14"/>
      <c r="C23" s="14"/>
      <c r="D23" s="14"/>
      <c r="E23" s="14"/>
      <c r="F23" s="14"/>
      <c r="G23" s="14"/>
      <c r="H23" s="14"/>
      <c r="I23" s="14"/>
    </row>
    <row r="24" spans="2:9" ht="15" customHeight="1" x14ac:dyDescent="0.3">
      <c r="B24" s="14"/>
      <c r="C24" s="14"/>
      <c r="D24" s="14"/>
      <c r="E24" s="14"/>
      <c r="F24" s="14"/>
      <c r="G24" s="14"/>
      <c r="H24" s="14"/>
      <c r="I24" s="14"/>
    </row>
    <row r="25" spans="2:9" ht="15" customHeight="1" x14ac:dyDescent="0.3">
      <c r="B25" s="14"/>
      <c r="C25" s="14"/>
      <c r="D25" s="14"/>
      <c r="E25" s="14"/>
      <c r="F25" s="14"/>
      <c r="G25" s="14"/>
      <c r="H25" s="14"/>
      <c r="I25" s="14"/>
    </row>
    <row r="26" spans="2:9" ht="15" customHeight="1" x14ac:dyDescent="0.3">
      <c r="B26" s="14"/>
      <c r="C26" s="14"/>
      <c r="D26" s="14"/>
      <c r="E26" s="14"/>
      <c r="F26" s="14"/>
      <c r="G26" s="14"/>
      <c r="H26" s="14"/>
      <c r="I26" s="14"/>
    </row>
    <row r="28" spans="2:9" ht="15" customHeight="1" x14ac:dyDescent="0.3">
      <c r="B28" s="9" t="s">
        <v>113</v>
      </c>
      <c r="C28" s="9">
        <f>COUNTIF(D6:D26,"Compliant")</f>
        <v>1</v>
      </c>
    </row>
    <row r="29" spans="2:9" ht="15" customHeight="1" x14ac:dyDescent="0.3">
      <c r="B29" s="9" t="s">
        <v>116</v>
      </c>
      <c r="C29" s="9">
        <f>COUNTA(B6:B26)</f>
        <v>1</v>
      </c>
    </row>
    <row r="30" spans="2:9" ht="15" customHeight="1" x14ac:dyDescent="0.3">
      <c r="B30" s="9" t="s">
        <v>117</v>
      </c>
      <c r="C30" s="9">
        <f>COUNTIF(E6:E26,"Yes")</f>
        <v>1</v>
      </c>
    </row>
    <row r="31" spans="2:9" ht="15" customHeight="1" x14ac:dyDescent="0.3">
      <c r="B31" s="9" t="s">
        <v>118</v>
      </c>
      <c r="C31" s="9">
        <f>COUNTIF(F6:F26,"Yes")</f>
        <v>1</v>
      </c>
    </row>
    <row r="32" spans="2:9" ht="15" customHeight="1" x14ac:dyDescent="0.3">
      <c r="B32" s="9" t="s">
        <v>119</v>
      </c>
      <c r="C32" s="9">
        <f>COUNTIF(G6:G26,"Yes")</f>
        <v>0</v>
      </c>
    </row>
    <row r="33" spans="2:3" ht="15" customHeight="1" x14ac:dyDescent="0.3">
      <c r="B33" s="9" t="s">
        <v>120</v>
      </c>
      <c r="C33" s="9">
        <f>COUNTIF(H6:H26,"Yes")</f>
        <v>0</v>
      </c>
    </row>
  </sheetData>
  <mergeCells count="2">
    <mergeCell ref="B3:I3"/>
    <mergeCell ref="A2:H2"/>
  </mergeCells>
  <dataValidations count="2">
    <dataValidation type="list" sqref="D7:D26" xr:uid="{00000000-0002-0000-0500-000000000000}">
      <formula1>"Compliant,Non-compliant,Under Review"</formula1>
      <formula2>0</formula2>
    </dataValidation>
    <dataValidation type="list" sqref="E7:H26" xr:uid="{00000000-0002-0000-0500-000001000000}">
      <formula1>"Yes,No,N/A"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14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4" sqref="E14"/>
    </sheetView>
  </sheetViews>
  <sheetFormatPr defaultColWidth="8.6640625" defaultRowHeight="14.4" x14ac:dyDescent="0.3"/>
  <cols>
    <col min="1" max="1" width="3" customWidth="1"/>
    <col min="2" max="2" width="30" customWidth="1"/>
    <col min="3" max="3" width="16" customWidth="1"/>
    <col min="4" max="5" width="20" customWidth="1"/>
    <col min="6" max="6" width="22" customWidth="1"/>
    <col min="7" max="7" width="32" customWidth="1"/>
    <col min="8" max="8" width="24" customWidth="1"/>
  </cols>
  <sheetData>
    <row r="2" spans="1:8" ht="25.5" customHeight="1" x14ac:dyDescent="0.3">
      <c r="A2" s="21" t="s">
        <v>121</v>
      </c>
      <c r="B2" s="20"/>
      <c r="C2" s="20"/>
      <c r="D2" s="20"/>
      <c r="E2" s="20"/>
      <c r="F2" s="20"/>
      <c r="G2" s="20"/>
    </row>
    <row r="3" spans="1:8" ht="15" customHeight="1" x14ac:dyDescent="0.3">
      <c r="B3" s="19" t="s">
        <v>122</v>
      </c>
      <c r="C3" s="20"/>
      <c r="D3" s="20"/>
      <c r="E3" s="20"/>
      <c r="F3" s="20"/>
      <c r="G3" s="20"/>
      <c r="H3" s="20"/>
    </row>
    <row r="5" spans="1:8" ht="31.5" customHeight="1" x14ac:dyDescent="0.3">
      <c r="B5" s="1" t="s">
        <v>123</v>
      </c>
      <c r="C5" s="1" t="s">
        <v>46</v>
      </c>
      <c r="D5" s="1" t="s">
        <v>124</v>
      </c>
      <c r="E5" s="1" t="s">
        <v>125</v>
      </c>
      <c r="F5" s="1" t="s">
        <v>126</v>
      </c>
      <c r="G5" s="1" t="s">
        <v>127</v>
      </c>
      <c r="H5" s="1" t="s">
        <v>80</v>
      </c>
    </row>
    <row r="6" spans="1:8" ht="35.1" customHeight="1" x14ac:dyDescent="0.3">
      <c r="B6" s="13" t="s">
        <v>128</v>
      </c>
      <c r="C6" s="13" t="s">
        <v>59</v>
      </c>
      <c r="D6" s="13" t="s">
        <v>129</v>
      </c>
      <c r="E6" s="13"/>
      <c r="F6" s="13"/>
      <c r="G6" s="13"/>
      <c r="H6" s="13" t="s">
        <v>130</v>
      </c>
    </row>
    <row r="7" spans="1:8" ht="25.8" customHeight="1" x14ac:dyDescent="0.3">
      <c r="B7" s="14" t="s">
        <v>131</v>
      </c>
      <c r="C7" s="14" t="s">
        <v>58</v>
      </c>
      <c r="D7" s="14" t="s">
        <v>132</v>
      </c>
      <c r="E7" s="14"/>
      <c r="F7" s="14"/>
      <c r="G7" s="14"/>
      <c r="H7" s="14" t="s">
        <v>133</v>
      </c>
    </row>
    <row r="8" spans="1:8" ht="24" customHeight="1" x14ac:dyDescent="0.3">
      <c r="B8" s="14" t="s">
        <v>134</v>
      </c>
      <c r="C8" s="14" t="s">
        <v>58</v>
      </c>
      <c r="D8" s="14" t="s">
        <v>135</v>
      </c>
      <c r="E8" s="14"/>
      <c r="F8" s="14"/>
      <c r="G8" s="14"/>
      <c r="H8" s="14" t="s">
        <v>136</v>
      </c>
    </row>
    <row r="9" spans="1:8" ht="29.4" customHeight="1" x14ac:dyDescent="0.3">
      <c r="B9" s="14" t="s">
        <v>137</v>
      </c>
      <c r="C9" s="14" t="s">
        <v>61</v>
      </c>
      <c r="D9" s="14" t="s">
        <v>138</v>
      </c>
      <c r="E9" s="14"/>
      <c r="F9" s="14"/>
      <c r="G9" s="14"/>
      <c r="H9" s="14" t="s">
        <v>139</v>
      </c>
    </row>
    <row r="11" spans="1:8" ht="15" customHeight="1" x14ac:dyDescent="0.3">
      <c r="B11" s="9" t="s">
        <v>140</v>
      </c>
      <c r="C11" s="9">
        <f>COUNTA(B6:B9)</f>
        <v>4</v>
      </c>
    </row>
    <row r="12" spans="1:8" ht="15" customHeight="1" x14ac:dyDescent="0.3">
      <c r="B12" s="9" t="s">
        <v>141</v>
      </c>
      <c r="C12" s="9">
        <f>COUNTIF(D6:D9,"Formalized")+COUNTIF(D6:D9,"Remediated")</f>
        <v>0</v>
      </c>
    </row>
    <row r="13" spans="1:8" ht="15" customHeight="1" x14ac:dyDescent="0.3">
      <c r="B13" s="9" t="s">
        <v>142</v>
      </c>
      <c r="C13" s="9">
        <f>SUM(E6:E9)</f>
        <v>0</v>
      </c>
    </row>
    <row r="14" spans="1:8" ht="15" customHeight="1" x14ac:dyDescent="0.3">
      <c r="B14" s="9" t="s">
        <v>143</v>
      </c>
      <c r="C14" s="9">
        <f>SUM(F6:F9)</f>
        <v>0</v>
      </c>
    </row>
  </sheetData>
  <mergeCells count="2">
    <mergeCell ref="B3:H3"/>
    <mergeCell ref="A2:G2"/>
  </mergeCells>
  <dataValidations count="1">
    <dataValidation type="list" sqref="D7:D9" xr:uid="{00000000-0002-0000-0600-000000000000}">
      <formula1>"Active (Not Formalized),Partially Formalized,Formalized,Remediated"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I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:XFD7"/>
    </sheetView>
  </sheetViews>
  <sheetFormatPr defaultColWidth="8.6640625" defaultRowHeight="14.4" x14ac:dyDescent="0.3"/>
  <cols>
    <col min="1" max="1" width="3" customWidth="1"/>
    <col min="2" max="2" width="42.77734375" bestFit="1" customWidth="1"/>
    <col min="3" max="3" width="10.88671875" bestFit="1" customWidth="1"/>
    <col min="4" max="4" width="35.33203125" bestFit="1" customWidth="1"/>
    <col min="5" max="5" width="10.33203125" bestFit="1" customWidth="1"/>
    <col min="6" max="6" width="66.88671875" bestFit="1" customWidth="1"/>
    <col min="7" max="7" width="15.5546875" bestFit="1" customWidth="1"/>
    <col min="8" max="8" width="12.109375" bestFit="1" customWidth="1"/>
    <col min="9" max="9" width="8.6640625" bestFit="1" customWidth="1"/>
  </cols>
  <sheetData>
    <row r="2" spans="1:9" ht="25.5" customHeight="1" x14ac:dyDescent="0.3">
      <c r="A2" s="21" t="s">
        <v>144</v>
      </c>
      <c r="B2" s="20"/>
      <c r="C2" s="20"/>
      <c r="D2" s="20"/>
      <c r="E2" s="20"/>
      <c r="F2" s="20"/>
      <c r="G2" s="20"/>
      <c r="H2" s="20"/>
    </row>
    <row r="3" spans="1:9" ht="15" customHeight="1" x14ac:dyDescent="0.3">
      <c r="B3" s="19" t="s">
        <v>145</v>
      </c>
      <c r="C3" s="20"/>
      <c r="D3" s="20"/>
      <c r="E3" s="20"/>
      <c r="F3" s="20"/>
      <c r="G3" s="20"/>
      <c r="H3" s="20"/>
      <c r="I3" s="20"/>
    </row>
    <row r="5" spans="1:9" ht="31.5" customHeight="1" x14ac:dyDescent="0.3">
      <c r="B5" s="1" t="s">
        <v>146</v>
      </c>
      <c r="C5" s="1" t="s">
        <v>46</v>
      </c>
      <c r="D5" s="1" t="s">
        <v>147</v>
      </c>
      <c r="E5" s="1" t="s">
        <v>148</v>
      </c>
      <c r="F5" s="1" t="s">
        <v>149</v>
      </c>
      <c r="G5" s="1" t="s">
        <v>150</v>
      </c>
      <c r="H5" s="1" t="s">
        <v>151</v>
      </c>
      <c r="I5" s="1" t="s">
        <v>80</v>
      </c>
    </row>
    <row r="6" spans="1:9" ht="23.85" customHeight="1" x14ac:dyDescent="0.3">
      <c r="B6" s="13" t="s">
        <v>152</v>
      </c>
      <c r="C6" s="13" t="s">
        <v>59</v>
      </c>
      <c r="D6" s="13" t="s">
        <v>153</v>
      </c>
      <c r="E6" s="13" t="s">
        <v>154</v>
      </c>
      <c r="F6" s="13" t="s">
        <v>155</v>
      </c>
      <c r="G6" s="13"/>
      <c r="H6" s="13"/>
      <c r="I6" s="13"/>
    </row>
    <row r="7" spans="1:9" ht="15" customHeight="1" x14ac:dyDescent="0.3">
      <c r="B7" s="14" t="s">
        <v>156</v>
      </c>
      <c r="C7" s="14" t="s">
        <v>58</v>
      </c>
      <c r="D7" s="14" t="s">
        <v>157</v>
      </c>
      <c r="E7" s="14" t="s">
        <v>154</v>
      </c>
      <c r="F7" s="14" t="s">
        <v>158</v>
      </c>
      <c r="G7" s="14"/>
      <c r="H7" s="14"/>
      <c r="I7" s="14"/>
    </row>
    <row r="8" spans="1:9" ht="15" customHeight="1" x14ac:dyDescent="0.3">
      <c r="B8" s="14"/>
      <c r="C8" s="14"/>
      <c r="D8" s="14"/>
      <c r="E8" s="14"/>
      <c r="F8" s="14"/>
      <c r="G8" s="14"/>
      <c r="H8" s="14"/>
      <c r="I8" s="14"/>
    </row>
    <row r="9" spans="1:9" ht="15" customHeight="1" x14ac:dyDescent="0.3">
      <c r="B9" s="14"/>
      <c r="C9" s="14"/>
      <c r="D9" s="14"/>
      <c r="E9" s="14"/>
      <c r="F9" s="14"/>
      <c r="G9" s="14"/>
      <c r="H9" s="14"/>
      <c r="I9" s="14"/>
    </row>
    <row r="10" spans="1:9" ht="15" customHeight="1" x14ac:dyDescent="0.3">
      <c r="B10" s="14"/>
      <c r="C10" s="14"/>
      <c r="D10" s="14"/>
      <c r="E10" s="14"/>
      <c r="F10" s="14"/>
      <c r="G10" s="14"/>
      <c r="H10" s="14"/>
      <c r="I10" s="14"/>
    </row>
    <row r="11" spans="1:9" ht="15" customHeight="1" x14ac:dyDescent="0.3">
      <c r="B11" s="14"/>
      <c r="C11" s="14"/>
      <c r="D11" s="14"/>
      <c r="E11" s="14"/>
      <c r="F11" s="14"/>
      <c r="G11" s="14"/>
      <c r="H11" s="14"/>
      <c r="I11" s="14"/>
    </row>
    <row r="12" spans="1:9" ht="15" customHeight="1" x14ac:dyDescent="0.3">
      <c r="B12" s="14"/>
      <c r="C12" s="14"/>
      <c r="D12" s="14"/>
      <c r="E12" s="14"/>
      <c r="F12" s="14"/>
      <c r="G12" s="14"/>
      <c r="H12" s="14"/>
      <c r="I12" s="14"/>
    </row>
    <row r="13" spans="1:9" ht="15" customHeight="1" x14ac:dyDescent="0.3">
      <c r="B13" s="14"/>
      <c r="C13" s="14"/>
      <c r="D13" s="14"/>
      <c r="E13" s="14"/>
      <c r="F13" s="14"/>
      <c r="G13" s="14"/>
      <c r="H13" s="14"/>
      <c r="I13" s="14"/>
    </row>
    <row r="14" spans="1:9" ht="15" customHeight="1" x14ac:dyDescent="0.3">
      <c r="B14" s="14"/>
      <c r="C14" s="14"/>
      <c r="D14" s="14"/>
      <c r="E14" s="14"/>
      <c r="F14" s="14"/>
      <c r="G14" s="14"/>
      <c r="H14" s="14"/>
      <c r="I14" s="14"/>
    </row>
    <row r="15" spans="1:9" ht="15" customHeight="1" x14ac:dyDescent="0.3">
      <c r="B15" s="14"/>
      <c r="C15" s="14"/>
      <c r="D15" s="14"/>
      <c r="E15" s="14"/>
      <c r="F15" s="14"/>
      <c r="G15" s="14"/>
      <c r="H15" s="14"/>
      <c r="I15" s="14"/>
    </row>
    <row r="16" spans="1:9" ht="15" customHeight="1" x14ac:dyDescent="0.3">
      <c r="B16" s="14"/>
      <c r="C16" s="14"/>
      <c r="D16" s="14"/>
      <c r="E16" s="14"/>
      <c r="F16" s="14"/>
      <c r="G16" s="14"/>
      <c r="H16" s="14"/>
      <c r="I16" s="14"/>
    </row>
    <row r="17" spans="2:9" ht="15" customHeight="1" x14ac:dyDescent="0.3">
      <c r="B17" s="14"/>
      <c r="C17" s="14"/>
      <c r="D17" s="14"/>
      <c r="E17" s="14"/>
      <c r="F17" s="14"/>
      <c r="G17" s="14"/>
      <c r="H17" s="14"/>
      <c r="I17" s="14"/>
    </row>
    <row r="18" spans="2:9" ht="15" customHeight="1" x14ac:dyDescent="0.3">
      <c r="B18" s="14"/>
      <c r="C18" s="14"/>
      <c r="D18" s="14"/>
      <c r="E18" s="14"/>
      <c r="F18" s="14"/>
      <c r="G18" s="14"/>
      <c r="H18" s="14"/>
      <c r="I18" s="14"/>
    </row>
    <row r="19" spans="2:9" ht="15" customHeight="1" x14ac:dyDescent="0.3">
      <c r="B19" s="14"/>
      <c r="C19" s="14"/>
      <c r="D19" s="14"/>
      <c r="E19" s="14"/>
      <c r="F19" s="14"/>
      <c r="G19" s="14"/>
      <c r="H19" s="14"/>
      <c r="I19" s="14"/>
    </row>
    <row r="20" spans="2:9" ht="15" customHeight="1" x14ac:dyDescent="0.3">
      <c r="B20" s="14"/>
      <c r="C20" s="14"/>
      <c r="D20" s="14"/>
      <c r="E20" s="14"/>
      <c r="F20" s="14"/>
      <c r="G20" s="14"/>
      <c r="H20" s="14"/>
      <c r="I20" s="14"/>
    </row>
    <row r="21" spans="2:9" ht="15" customHeight="1" x14ac:dyDescent="0.3">
      <c r="B21" s="14"/>
      <c r="C21" s="14"/>
      <c r="D21" s="14"/>
      <c r="E21" s="14"/>
      <c r="F21" s="14"/>
      <c r="G21" s="14"/>
      <c r="H21" s="14"/>
      <c r="I21" s="14"/>
    </row>
    <row r="22" spans="2:9" ht="15" customHeight="1" x14ac:dyDescent="0.3">
      <c r="B22" s="14"/>
      <c r="C22" s="14"/>
      <c r="D22" s="14"/>
      <c r="E22" s="14"/>
      <c r="F22" s="14"/>
      <c r="G22" s="14"/>
      <c r="H22" s="14"/>
      <c r="I22" s="14"/>
    </row>
    <row r="23" spans="2:9" ht="15" customHeight="1" x14ac:dyDescent="0.3">
      <c r="B23" s="14"/>
      <c r="C23" s="14"/>
      <c r="D23" s="14"/>
      <c r="E23" s="14"/>
      <c r="F23" s="14"/>
      <c r="G23" s="14"/>
      <c r="H23" s="14"/>
      <c r="I23" s="14"/>
    </row>
    <row r="24" spans="2:9" ht="15" customHeight="1" x14ac:dyDescent="0.3">
      <c r="B24" s="14"/>
      <c r="C24" s="14"/>
      <c r="D24" s="14"/>
      <c r="E24" s="14"/>
      <c r="F24" s="14"/>
      <c r="G24" s="14"/>
      <c r="H24" s="14"/>
      <c r="I24" s="14"/>
    </row>
    <row r="25" spans="2:9" ht="15" customHeight="1" x14ac:dyDescent="0.3">
      <c r="B25" s="14"/>
      <c r="C25" s="14"/>
      <c r="D25" s="14"/>
      <c r="E25" s="14"/>
      <c r="F25" s="14"/>
      <c r="G25" s="14"/>
      <c r="H25" s="14"/>
      <c r="I25" s="14"/>
    </row>
    <row r="26" spans="2:9" ht="15" customHeight="1" x14ac:dyDescent="0.3">
      <c r="B26" s="14"/>
      <c r="C26" s="14"/>
      <c r="D26" s="14"/>
      <c r="E26" s="14"/>
      <c r="F26" s="14"/>
      <c r="G26" s="14"/>
      <c r="H26" s="14"/>
      <c r="I26" s="14"/>
    </row>
    <row r="28" spans="2:9" ht="15" customHeight="1" x14ac:dyDescent="0.3">
      <c r="B28" s="9" t="s">
        <v>159</v>
      </c>
      <c r="C28" s="9">
        <f>SUMPRODUCT((B6:B26&lt;&gt;"")/COUNTIF(B6:B26,B6:B26&amp;""))</f>
        <v>2</v>
      </c>
    </row>
    <row r="29" spans="2:9" ht="15" customHeight="1" x14ac:dyDescent="0.3">
      <c r="B29" s="9" t="s">
        <v>160</v>
      </c>
      <c r="C29" s="9">
        <f>COUNTIF(F6:F26,"Yes")</f>
        <v>0</v>
      </c>
    </row>
    <row r="30" spans="2:9" ht="15" customHeight="1" x14ac:dyDescent="0.3">
      <c r="B30" s="9" t="s">
        <v>161</v>
      </c>
      <c r="C30" s="9">
        <f>SUM(G6:G26)</f>
        <v>0</v>
      </c>
    </row>
  </sheetData>
  <mergeCells count="2">
    <mergeCell ref="B3:I3"/>
    <mergeCell ref="A2:H2"/>
  </mergeCells>
  <dataValidations count="3">
    <dataValidation type="list" sqref="D7:D26" xr:uid="{00000000-0002-0000-0700-000000000000}">
      <formula1>"Soil,Water,Air,Soil + Water,Soil + Water + Air"</formula1>
      <formula2>0</formula2>
    </dataValidation>
    <dataValidation type="list" sqref="E7:E26" xr:uid="{00000000-0002-0000-0700-000001000000}">
      <formula1>"Within Limit,Exceeds Limit,Pending Analysis"</formula1>
      <formula2>0</formula2>
    </dataValidation>
    <dataValidation type="list" sqref="F7:F26" xr:uid="{00000000-0002-0000-0700-000002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G30"/>
  <sheetViews>
    <sheetView showGridLine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5" sqref="A5:XFD6"/>
    </sheetView>
  </sheetViews>
  <sheetFormatPr defaultColWidth="8.6640625" defaultRowHeight="14.4" x14ac:dyDescent="0.3"/>
  <cols>
    <col min="1" max="1" width="3" customWidth="1"/>
    <col min="2" max="2" width="59" bestFit="1" customWidth="1"/>
    <col min="3" max="3" width="20.21875" bestFit="1" customWidth="1"/>
    <col min="4" max="4" width="5" bestFit="1" customWidth="1"/>
    <col min="5" max="5" width="37.44140625" bestFit="1" customWidth="1"/>
    <col min="6" max="6" width="26.44140625" bestFit="1" customWidth="1"/>
    <col min="7" max="7" width="19.77734375" bestFit="1" customWidth="1"/>
  </cols>
  <sheetData>
    <row r="2" spans="1:7" ht="25.5" customHeight="1" x14ac:dyDescent="0.3">
      <c r="A2" s="21" t="s">
        <v>162</v>
      </c>
      <c r="B2" s="20"/>
      <c r="C2" s="20"/>
      <c r="D2" s="20"/>
      <c r="E2" s="20"/>
      <c r="F2" s="20"/>
    </row>
    <row r="3" spans="1:7" ht="15" customHeight="1" x14ac:dyDescent="0.3">
      <c r="B3" s="19" t="s">
        <v>163</v>
      </c>
      <c r="C3" s="20"/>
      <c r="D3" s="20"/>
      <c r="E3" s="20"/>
      <c r="F3" s="20"/>
      <c r="G3" s="20"/>
    </row>
    <row r="5" spans="1:7" ht="31.5" customHeight="1" x14ac:dyDescent="0.3">
      <c r="B5" s="1" t="s">
        <v>164</v>
      </c>
      <c r="C5" s="1" t="s">
        <v>46</v>
      </c>
      <c r="D5" s="1" t="s">
        <v>148</v>
      </c>
      <c r="E5" s="1" t="s">
        <v>165</v>
      </c>
      <c r="F5" s="1" t="s">
        <v>166</v>
      </c>
      <c r="G5" s="1" t="s">
        <v>167</v>
      </c>
    </row>
    <row r="6" spans="1:7" ht="15" customHeight="1" x14ac:dyDescent="0.3">
      <c r="B6" s="13" t="s">
        <v>168</v>
      </c>
      <c r="C6" s="13" t="s">
        <v>169</v>
      </c>
      <c r="D6" s="13"/>
      <c r="E6" s="13" t="s">
        <v>170</v>
      </c>
      <c r="F6" s="13" t="s">
        <v>171</v>
      </c>
      <c r="G6" s="13"/>
    </row>
    <row r="7" spans="1:7" ht="15" customHeight="1" x14ac:dyDescent="0.3">
      <c r="B7" s="14"/>
      <c r="C7" s="14"/>
      <c r="D7" s="14"/>
      <c r="E7" s="14"/>
      <c r="F7" s="14"/>
      <c r="G7" s="14"/>
    </row>
    <row r="8" spans="1:7" ht="15" customHeight="1" x14ac:dyDescent="0.3">
      <c r="B8" s="14"/>
      <c r="C8" s="14"/>
      <c r="D8" s="14"/>
      <c r="E8" s="14"/>
      <c r="F8" s="14"/>
      <c r="G8" s="14"/>
    </row>
    <row r="9" spans="1:7" ht="15" customHeight="1" x14ac:dyDescent="0.3">
      <c r="B9" s="14"/>
      <c r="C9" s="14"/>
      <c r="D9" s="14"/>
      <c r="E9" s="14"/>
      <c r="F9" s="14"/>
      <c r="G9" s="14"/>
    </row>
    <row r="10" spans="1:7" ht="15" customHeight="1" x14ac:dyDescent="0.3">
      <c r="B10" s="14"/>
      <c r="C10" s="14"/>
      <c r="D10" s="14"/>
      <c r="E10" s="14"/>
      <c r="F10" s="14"/>
      <c r="G10" s="14"/>
    </row>
    <row r="11" spans="1:7" ht="15" customHeight="1" x14ac:dyDescent="0.3">
      <c r="B11" s="14"/>
      <c r="C11" s="14"/>
      <c r="D11" s="14"/>
      <c r="E11" s="14"/>
      <c r="F11" s="14"/>
      <c r="G11" s="14"/>
    </row>
    <row r="12" spans="1:7" ht="15" customHeight="1" x14ac:dyDescent="0.3">
      <c r="B12" s="14"/>
      <c r="C12" s="14"/>
      <c r="D12" s="14"/>
      <c r="E12" s="14"/>
      <c r="F12" s="14"/>
      <c r="G12" s="14"/>
    </row>
    <row r="13" spans="1:7" ht="15" customHeight="1" x14ac:dyDescent="0.3">
      <c r="B13" s="14"/>
      <c r="C13" s="14"/>
      <c r="D13" s="14"/>
      <c r="E13" s="14"/>
      <c r="F13" s="14"/>
      <c r="G13" s="14"/>
    </row>
    <row r="14" spans="1:7" ht="15" customHeight="1" x14ac:dyDescent="0.3">
      <c r="B14" s="14"/>
      <c r="C14" s="14"/>
      <c r="D14" s="14"/>
      <c r="E14" s="14"/>
      <c r="F14" s="14"/>
      <c r="G14" s="14"/>
    </row>
    <row r="15" spans="1:7" ht="15" customHeight="1" x14ac:dyDescent="0.3">
      <c r="B15" s="14"/>
      <c r="C15" s="14"/>
      <c r="D15" s="14"/>
      <c r="E15" s="14"/>
      <c r="F15" s="14"/>
      <c r="G15" s="14"/>
    </row>
    <row r="16" spans="1:7" ht="15" customHeight="1" x14ac:dyDescent="0.3">
      <c r="B16" s="14"/>
      <c r="C16" s="14"/>
      <c r="D16" s="14"/>
      <c r="E16" s="14"/>
      <c r="F16" s="14"/>
      <c r="G16" s="14"/>
    </row>
    <row r="17" spans="2:7" ht="15" customHeight="1" x14ac:dyDescent="0.3">
      <c r="B17" s="14"/>
      <c r="C17" s="14"/>
      <c r="D17" s="14"/>
      <c r="E17" s="14"/>
      <c r="F17" s="14"/>
      <c r="G17" s="14"/>
    </row>
    <row r="18" spans="2:7" ht="15" customHeight="1" x14ac:dyDescent="0.3">
      <c r="B18" s="14"/>
      <c r="C18" s="14"/>
      <c r="D18" s="14"/>
      <c r="E18" s="14"/>
      <c r="F18" s="14"/>
      <c r="G18" s="14"/>
    </row>
    <row r="19" spans="2:7" ht="15" customHeight="1" x14ac:dyDescent="0.3">
      <c r="B19" s="14"/>
      <c r="C19" s="14"/>
      <c r="D19" s="14"/>
      <c r="E19" s="14"/>
      <c r="F19" s="14"/>
      <c r="G19" s="14"/>
    </row>
    <row r="20" spans="2:7" ht="15" customHeight="1" x14ac:dyDescent="0.3">
      <c r="B20" s="14"/>
      <c r="C20" s="14"/>
      <c r="D20" s="14"/>
      <c r="E20" s="14"/>
      <c r="F20" s="14"/>
      <c r="G20" s="14"/>
    </row>
    <row r="21" spans="2:7" ht="15" customHeight="1" x14ac:dyDescent="0.3">
      <c r="B21" s="14"/>
      <c r="C21" s="14"/>
      <c r="D21" s="14"/>
      <c r="E21" s="14"/>
      <c r="F21" s="14"/>
      <c r="G21" s="14"/>
    </row>
    <row r="22" spans="2:7" ht="15" customHeight="1" x14ac:dyDescent="0.3">
      <c r="B22" s="14"/>
      <c r="C22" s="14"/>
      <c r="D22" s="14"/>
      <c r="E22" s="14"/>
      <c r="F22" s="14"/>
      <c r="G22" s="14"/>
    </row>
    <row r="23" spans="2:7" ht="15" customHeight="1" x14ac:dyDescent="0.3">
      <c r="B23" s="14"/>
      <c r="C23" s="14"/>
      <c r="D23" s="14"/>
      <c r="E23" s="14"/>
      <c r="F23" s="14"/>
      <c r="G23" s="14"/>
    </row>
    <row r="24" spans="2:7" ht="15" customHeight="1" x14ac:dyDescent="0.3">
      <c r="B24" s="14"/>
      <c r="C24" s="14"/>
      <c r="D24" s="14"/>
      <c r="E24" s="14"/>
      <c r="F24" s="14"/>
      <c r="G24" s="14"/>
    </row>
    <row r="25" spans="2:7" ht="15" customHeight="1" x14ac:dyDescent="0.3">
      <c r="B25" s="14"/>
      <c r="C25" s="14"/>
      <c r="D25" s="14"/>
      <c r="E25" s="14"/>
      <c r="F25" s="14"/>
      <c r="G25" s="14"/>
    </row>
    <row r="26" spans="2:7" ht="15" customHeight="1" x14ac:dyDescent="0.3">
      <c r="B26" s="14"/>
      <c r="C26" s="14"/>
      <c r="D26" s="14"/>
      <c r="E26" s="14"/>
      <c r="F26" s="14"/>
      <c r="G26" s="14"/>
    </row>
    <row r="28" spans="2:7" ht="15" customHeight="1" x14ac:dyDescent="0.3">
      <c r="B28" s="9" t="s">
        <v>172</v>
      </c>
      <c r="C28" s="9">
        <f>COUNTA(B6:B26)</f>
        <v>1</v>
      </c>
    </row>
    <row r="29" spans="2:7" ht="15" customHeight="1" x14ac:dyDescent="0.3">
      <c r="B29" s="9" t="s">
        <v>173</v>
      </c>
      <c r="C29" s="9">
        <f>COUNTIF(D6:D26,"School Collection Drive")+COUNTIF(D6:D26,"RWA/Community Drive")</f>
        <v>0</v>
      </c>
    </row>
    <row r="30" spans="2:7" ht="15" customHeight="1" x14ac:dyDescent="0.3">
      <c r="B30" s="9" t="s">
        <v>174</v>
      </c>
      <c r="C30" s="9">
        <f>SUM(F6:F26)</f>
        <v>0</v>
      </c>
    </row>
  </sheetData>
  <mergeCells count="2">
    <mergeCell ref="B3:G3"/>
    <mergeCell ref="A2:F2"/>
  </mergeCells>
  <dataValidations count="1">
    <dataValidation type="list" sqref="D7:D26" xr:uid="{00000000-0002-0000-0800-000000000000}">
      <formula1>"Awareness Campaign,School Collection Drive,RWA/Community Drive,Industry Outreach,Media Campaign"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0_Scorecard</vt:lpstr>
      <vt:lpstr>Instructions</vt:lpstr>
      <vt:lpstr>1_Generation_Inventory</vt:lpstr>
      <vt:lpstr>2_Collection_Log</vt:lpstr>
      <vt:lpstr>3_Recycling_Infrastructure</vt:lpstr>
      <vt:lpstr>4_Compliance_Tracker</vt:lpstr>
      <vt:lpstr>5_Informal_Sector_Hotspots</vt:lpstr>
      <vt:lpstr>6_Env_Health_Monitoring</vt:lpstr>
      <vt:lpstr>7_Awareness_Programs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Rayed Khan</cp:lastModifiedBy>
  <cp:revision>0</cp:revision>
  <dcterms:created xsi:type="dcterms:W3CDTF">2026-07-16T04:20:02Z</dcterms:created>
  <dcterms:modified xsi:type="dcterms:W3CDTF">2026-07-22T14:03:06Z</dcterms:modified>
  <dc:language>en-US</dc:language>
</cp:coreProperties>
</file>